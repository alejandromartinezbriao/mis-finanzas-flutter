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 updateLinks="never"/>
  <bookViews>
    <workbookView xWindow="360" yWindow="15" windowWidth="20955" windowHeight="9720" activeTab="20"/>
  </bookViews>
  <sheets>
    <sheet name="Feb-24" sheetId="1" state="visible" r:id="rId1"/>
    <sheet name="Mar-24" sheetId="2" state="visible" r:id="rId2"/>
    <sheet name="Abr-24" sheetId="3" state="visible" r:id="rId3"/>
    <sheet name="May-24" sheetId="4" state="visible" r:id="rId4"/>
    <sheet name="Jun-24" sheetId="5" state="visible" r:id="rId5"/>
    <sheet name="Jul-24" sheetId="6" state="visible" r:id="rId6"/>
    <sheet name="Ago-24" sheetId="7" state="visible" r:id="rId7"/>
    <sheet name="Set-24" sheetId="8" state="visible" r:id="rId8"/>
    <sheet name="Oct-24" sheetId="9" state="visible" r:id="rId9"/>
    <sheet name="Nov-24" sheetId="10" state="visible" r:id="rId10"/>
    <sheet name="Dic-24" sheetId="11" state="visible" r:id="rId11"/>
    <sheet name="Ene-25" sheetId="12" state="visible" r:id="rId12"/>
    <sheet name="Feb-25" sheetId="13" state="visible" r:id="rId13"/>
    <sheet name="Mar-25" sheetId="14" state="visible" r:id="rId14"/>
    <sheet name="Abr-25" sheetId="15" state="visible" r:id="rId15"/>
    <sheet name="May-25" sheetId="16" state="visible" r:id="rId16"/>
    <sheet name="Jun-25" sheetId="17" state="visible" r:id="rId17"/>
    <sheet name="Jul-25" sheetId="18" state="visible" r:id="rId18"/>
    <sheet name="Ago-25" sheetId="19" state="visible" r:id="rId19"/>
    <sheet name="Set-25" sheetId="20" state="visible" r:id="rId20"/>
    <sheet name="Oct-25" sheetId="21" state="visible" r:id="rId21"/>
    <sheet name="Hoja5" sheetId="22" state="visible" r:id="rId2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<sst xmlns="http://schemas.openxmlformats.org/spreadsheetml/2006/main" count="42" uniqueCount="42">
  <si>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Concepto</t>
  </si>
  <si>
    <t>Total</t>
  </si>
  <si>
    <t>Dólares</t>
  </si>
  <si>
    <t>Mínimo</t>
  </si>
  <si>
    <t>Vencimiento</t>
  </si>
  <si>
    <t>Alquiler</t>
  </si>
  <si>
    <t>VISA</t>
  </si>
  <si>
    <t xml:space="preserve">VISA U$S</t>
  </si>
  <si>
    <t>OCA</t>
  </si>
  <si>
    <t xml:space="preserve">OCA U$S</t>
  </si>
  <si>
    <t>CABAL</t>
  </si>
  <si>
    <t>BBVA</t>
  </si>
  <si>
    <t xml:space="preserve">OSE Casa</t>
  </si>
  <si>
    <t xml:space="preserve">IMM Casa</t>
  </si>
  <si>
    <t>Alarma</t>
  </si>
  <si>
    <t xml:space="preserve">Ent. garage</t>
  </si>
  <si>
    <t xml:space="preserve">Billeteras Cash</t>
  </si>
  <si>
    <t xml:space="preserve">Vidrio cocina</t>
  </si>
  <si>
    <t>Sueldo</t>
  </si>
  <si>
    <t>Dolares</t>
  </si>
  <si>
    <t xml:space="preserve">Mes actual</t>
  </si>
  <si>
    <t xml:space="preserve">GGCC Set</t>
  </si>
  <si>
    <t>Ingresos</t>
  </si>
  <si>
    <t xml:space="preserve">Cotización del Dólar</t>
  </si>
  <si>
    <t xml:space="preserve">Transf. U$S</t>
  </si>
  <si>
    <t xml:space="preserve">Regalo Kyan</t>
  </si>
  <si>
    <t xml:space="preserve">Cambio a U$S</t>
  </si>
  <si>
    <t>U$S</t>
  </si>
  <si>
    <t>Annie</t>
  </si>
  <si>
    <t>CentroLifan</t>
  </si>
  <si>
    <t xml:space="preserve">Gastos Super</t>
  </si>
  <si>
    <t>Aguinaldo</t>
  </si>
  <si>
    <t>Dólar</t>
  </si>
  <si>
    <t>Respaldo</t>
  </si>
  <si>
    <t xml:space="preserve">Master Sant.</t>
  </si>
  <si>
    <t>Efectivo</t>
  </si>
  <si>
    <t>Auto</t>
  </si>
  <si>
    <t>Santander</t>
  </si>
  <si>
    <t>SRPFFAA</t>
  </si>
  <si>
    <t>RIBA</t>
  </si>
  <si>
    <t xml:space="preserve">Cumple Kyan</t>
  </si>
  <si>
    <t xml:space="preserve">Seña lentes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</si>
</sst>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380A]d/mm/yy"/>
    <numFmt numFmtId="165" formatCode="[$-380A]dd/mm/yy"/>
  </numFmts>
  <fonts count="11">
    <font>
      <sz val="10.000000"/>
      <color theme="1"/>
      <name val="Arial"/>
    </font>
    <font>
      <sz val="10.000000"/>
      <color rgb="FF2A6099"/>
      <name val="Arial"/>
    </font>
    <font>
      <sz val="10.000000"/>
      <color rgb="FFC9211E"/>
      <name val="Arial"/>
    </font>
    <font>
      <b/>
      <i/>
      <sz val="14.000000"/>
      <color theme="1"/>
      <name val="Arial"/>
    </font>
    <font>
      <b/>
      <sz val="11.000000"/>
      <color theme="1"/>
      <name val="Arial"/>
    </font>
    <font>
      <b/>
      <sz val="10.000000"/>
      <color theme="1"/>
      <name val="Arial"/>
    </font>
    <font>
      <b/>
      <sz val="11.000000"/>
      <name val="Arial"/>
    </font>
    <font>
      <b/>
      <sz val="10.000000"/>
      <color rgb="FF2A6099"/>
      <name val="Arial"/>
    </font>
    <font>
      <b/>
      <sz val="11.000000"/>
      <color rgb="FFC9211E"/>
      <name val="Arial"/>
    </font>
    <font>
      <sz val="10.000000"/>
      <name val="Arial"/>
    </font>
    <font>
      <sz val="10.000000"/>
      <color indexed="2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0">
    <xf fontId="0" fillId="0" borderId="0" numFmtId="0" xfId="0"/>
    <xf fontId="0" fillId="0" borderId="0" numFmtId="49" xfId="0" applyNumberFormat="1"/>
    <xf fontId="0" fillId="0" borderId="0" numFmtId="2" xfId="0" applyNumberFormat="1"/>
    <xf fontId="0" fillId="0" borderId="0" numFmtId="164" xfId="0" applyNumberFormat="1"/>
    <xf fontId="1" fillId="0" borderId="0" numFmtId="0" xfId="0" applyFont="1"/>
    <xf fontId="1" fillId="0" borderId="0" numFmtId="2" xfId="0" applyNumberFormat="1" applyFont="1"/>
    <xf fontId="2" fillId="0" borderId="0" numFmtId="0" xfId="0" applyFont="1"/>
    <xf fontId="2" fillId="0" borderId="0" numFmtId="2" xfId="0" applyNumberFormat="1" applyFont="1"/>
    <xf fontId="3" fillId="2" borderId="1" numFmtId="49" xfId="0" applyNumberFormat="1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center" vertical="center"/>
    </xf>
    <xf fontId="4" fillId="3" borderId="1" numFmtId="2" xfId="0" applyNumberFormat="1" applyFont="1" applyFill="1" applyBorder="1" applyAlignment="1">
      <alignment horizontal="center" vertical="center"/>
    </xf>
    <xf fontId="4" fillId="3" borderId="1" numFmtId="164" xfId="0" applyNumberFormat="1" applyFont="1" applyFill="1" applyBorder="1" applyAlignment="1">
      <alignment horizontal="center" vertical="center"/>
    </xf>
    <xf fontId="5" fillId="2" borderId="1" numFmtId="0" xfId="0" applyFont="1" applyFill="1" applyBorder="1"/>
    <xf fontId="0" fillId="0" borderId="1" numFmtId="2" xfId="0" applyNumberFormat="1" applyBorder="1"/>
    <xf fontId="0" fillId="0" borderId="1" numFmtId="164" xfId="0" applyNumberFormat="1" applyBorder="1"/>
    <xf fontId="3" fillId="2" borderId="1" numFmtId="0" xfId="0" applyFont="1" applyFill="1" applyBorder="1" applyAlignment="1">
      <alignment horizontal="center" vertical="center"/>
    </xf>
    <xf fontId="5" fillId="2" borderId="1" numFmtId="49" xfId="0" applyNumberFormat="1" applyFont="1" applyFill="1" applyBorder="1" applyAlignment="1">
      <alignment horizontal="center" vertical="center" wrapText="1"/>
    </xf>
    <xf fontId="0" fillId="0" borderId="1" numFmtId="0" xfId="0" applyBorder="1"/>
    <xf fontId="6" fillId="0" borderId="1" numFmtId="0" xfId="0" applyFont="1" applyBorder="1"/>
    <xf fontId="7" fillId="0" borderId="1" numFmtId="2" xfId="0" applyNumberFormat="1" applyFont="1" applyBorder="1"/>
    <xf fontId="1" fillId="0" borderId="1" numFmtId="2" xfId="0" applyNumberFormat="1" applyFont="1" applyBorder="1"/>
    <xf fontId="0" fillId="0" borderId="0" numFmtId="4" xfId="0" applyNumberFormat="1"/>
    <xf fontId="3" fillId="2" borderId="2" numFmtId="49" xfId="0" applyNumberFormat="1" applyFont="1" applyFill="1" applyBorder="1" applyAlignment="1">
      <alignment horizontal="center" vertical="center"/>
    </xf>
    <xf fontId="3" fillId="2" borderId="3" numFmtId="4" xfId="0" applyNumberFormat="1" applyFont="1" applyFill="1" applyBorder="1" applyAlignment="1">
      <alignment horizontal="center" vertical="center"/>
    </xf>
    <xf fontId="3" fillId="2" borderId="3" numFmtId="49" xfId="0" applyNumberFormat="1" applyFont="1" applyFill="1" applyBorder="1" applyAlignment="1">
      <alignment horizontal="center" vertical="center"/>
    </xf>
    <xf fontId="3" fillId="2" borderId="4" numFmtId="49" xfId="0" applyNumberFormat="1" applyFont="1" applyFill="1" applyBorder="1" applyAlignment="1">
      <alignment horizontal="center" vertical="center"/>
    </xf>
    <xf fontId="3" fillId="2" borderId="1" numFmtId="4" xfId="0" applyNumberFormat="1" applyFont="1" applyFill="1" applyBorder="1" applyAlignment="1">
      <alignment horizontal="center" vertical="center"/>
    </xf>
    <xf fontId="4" fillId="3" borderId="1" numFmtId="4" xfId="0" applyNumberFormat="1" applyFont="1" applyFill="1" applyBorder="1" applyAlignment="1">
      <alignment horizontal="center" vertical="center"/>
    </xf>
    <xf fontId="0" fillId="0" borderId="1" numFmtId="4" xfId="0" applyNumberFormat="1" applyBorder="1"/>
    <xf fontId="0" fillId="0" borderId="5" numFmtId="0" xfId="0" applyBorder="1"/>
    <xf fontId="0" fillId="0" borderId="5" numFmtId="4" xfId="0" applyNumberFormat="1" applyBorder="1"/>
    <xf fontId="0" fillId="0" borderId="5" numFmtId="2" xfId="0" applyNumberFormat="1" applyBorder="1"/>
    <xf fontId="0" fillId="0" borderId="6" numFmtId="164" xfId="0" applyNumberFormat="1" applyBorder="1"/>
    <xf fontId="3" fillId="2" borderId="2" numFmtId="0" xfId="0" applyFont="1" applyFill="1" applyBorder="1" applyAlignment="1">
      <alignment horizontal="center" vertical="center"/>
    </xf>
    <xf fontId="3" fillId="2" borderId="3" numFmtId="0" xfId="0" applyFont="1" applyFill="1" applyBorder="1" applyAlignment="1">
      <alignment horizontal="center" vertical="center"/>
    </xf>
    <xf fontId="3" fillId="2" borderId="4" numFmtId="4" xfId="0" applyNumberFormat="1" applyFont="1" applyFill="1" applyBorder="1" applyAlignment="1">
      <alignment horizontal="center" vertical="center"/>
    </xf>
    <xf fontId="5" fillId="2" borderId="7" numFmtId="49" xfId="0" applyNumberFormat="1" applyFont="1" applyFill="1" applyBorder="1" applyAlignment="1">
      <alignment horizontal="center" vertical="center" wrapText="1"/>
    </xf>
    <xf fontId="0" fillId="0" borderId="1" numFmtId="0" xfId="0" applyBorder="1" applyAlignment="1">
      <alignment horizontal="left" vertical="center"/>
    </xf>
    <xf fontId="3" fillId="0" borderId="1" numFmtId="4" xfId="0" applyNumberFormat="1" applyFont="1" applyBorder="1" applyAlignment="1">
      <alignment horizontal="center" vertical="center"/>
    </xf>
    <xf fontId="0" fillId="0" borderId="1" numFmtId="4" xfId="0" applyNumberFormat="1" applyBorder="1" applyAlignment="1">
      <alignment horizontal="right" vertical="center"/>
    </xf>
    <xf fontId="3" fillId="2" borderId="4" numFmtId="0" xfId="0" applyFont="1" applyFill="1" applyBorder="1" applyAlignment="1">
      <alignment horizontal="center" vertical="center"/>
    </xf>
    <xf fontId="8" fillId="2" borderId="1" numFmtId="0" xfId="0" applyFont="1" applyFill="1" applyBorder="1"/>
    <xf fontId="8" fillId="2" borderId="1" numFmtId="4" xfId="0" applyNumberFormat="1" applyFont="1" applyFill="1" applyBorder="1"/>
    <xf fontId="8" fillId="2" borderId="1" numFmtId="2" xfId="0" applyNumberFormat="1" applyFont="1" applyFill="1" applyBorder="1"/>
    <xf fontId="0" fillId="0" borderId="1" numFmtId="165" xfId="0" applyNumberFormat="1" applyBorder="1"/>
    <xf fontId="9" fillId="0" borderId="1" numFmtId="4" xfId="0" applyNumberFormat="1" applyFont="1" applyBorder="1"/>
    <xf fontId="5" fillId="4" borderId="1" numFmtId="0" xfId="0" applyFont="1" applyFill="1" applyBorder="1"/>
    <xf fontId="0" fillId="0" borderId="8" numFmtId="4" xfId="0" applyNumberFormat="1" applyBorder="1"/>
    <xf fontId="9" fillId="0" borderId="1" numFmtId="165" xfId="0" applyNumberFormat="1" applyFont="1" applyBorder="1"/>
    <xf fontId="9" fillId="0" borderId="1" numFmtId="2" xfId="0" applyNumberFormat="1" applyFont="1" applyBorder="1"/>
    <xf fontId="9" fillId="0" borderId="8" numFmtId="4" xfId="0" applyNumberFormat="1" applyFont="1" applyBorder="1"/>
    <xf fontId="0" fillId="0" borderId="0" numFmtId="0" xfId="0">
      <protection hidden="0" locked="1"/>
    </xf>
    <xf fontId="10" fillId="0" borderId="1" numFmtId="2" xfId="0" applyNumberFormat="1" applyFont="1" applyBorder="1"/>
    <xf fontId="10" fillId="0" borderId="1" numFmtId="165" xfId="0" applyNumberFormat="1" applyFont="1" applyBorder="1"/>
    <xf fontId="3" fillId="0" borderId="1" numFmtId="2" xfId="0" applyNumberFormat="1" applyFont="1" applyBorder="1" applyAlignment="1">
      <alignment horizontal="center" vertical="center"/>
    </xf>
    <xf fontId="0" fillId="0" borderId="1" numFmtId="2" xfId="0" applyNumberFormat="1" applyBorder="1" applyAlignment="1">
      <alignment horizontal="right" vertical="center"/>
    </xf>
    <xf fontId="3" fillId="2" borderId="2" numFmtId="49" xfId="0" applyNumberFormat="1" applyFont="1" applyFill="1" applyBorder="1" applyAlignment="1">
      <alignment horizontal="center" vertical="center" wrapText="1"/>
    </xf>
    <xf fontId="3" fillId="2" borderId="3" numFmtId="49" xfId="0" applyNumberFormat="1" applyFont="1" applyFill="1" applyBorder="1" applyAlignment="1">
      <alignment horizontal="center" vertical="center" wrapText="1"/>
    </xf>
    <xf fontId="3" fillId="2" borderId="4" numFmtId="49" xfId="0" applyNumberFormat="1" applyFont="1" applyFill="1" applyBorder="1" applyAlignment="1">
      <alignment horizontal="center" vertical="center" wrapText="1"/>
    </xf>
    <xf fontId="3" fillId="2" borderId="1" numFmtId="49" xfId="0" applyNumberFormat="1" applyFont="1" applyFill="1" applyBorder="1" applyAlignment="1">
      <alignment horizontal="center" vertical="center" wrapText="1"/>
    </xf>
    <xf fontId="3" fillId="2" borderId="1" numFmtId="4" xfId="0" applyNumberFormat="1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4" fillId="3" borderId="1" numFmtId="4" xfId="0" applyNumberFormat="1" applyFont="1" applyFill="1" applyBorder="1" applyAlignment="1">
      <alignment horizontal="center" vertical="center" wrapText="1"/>
    </xf>
    <xf fontId="4" fillId="3" borderId="1" numFmtId="2" xfId="0" applyNumberFormat="1" applyFont="1" applyFill="1" applyBorder="1" applyAlignment="1">
      <alignment horizontal="center" vertical="center" wrapText="1"/>
    </xf>
    <xf fontId="4" fillId="3" borderId="1" numFmtId="164" xfId="0" applyNumberFormat="1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wrapText="1"/>
    </xf>
    <xf fontId="9" fillId="0" borderId="1" numFmtId="2" xfId="0" applyNumberFormat="1" applyFont="1" applyBorder="1" applyAlignment="1">
      <alignment wrapText="1"/>
    </xf>
    <xf fontId="9" fillId="0" borderId="1" numFmtId="165" xfId="0" applyNumberFormat="1" applyFont="1" applyBorder="1" applyAlignment="1">
      <alignment wrapText="1"/>
    </xf>
    <xf fontId="10" fillId="0" borderId="1" numFmtId="2" xfId="0" applyNumberFormat="1" applyFont="1" applyBorder="1" applyAlignment="1">
      <alignment wrapText="1"/>
    </xf>
    <xf fontId="5" fillId="4" borderId="1" numFmt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theme" Target="theme/theme1.xml"/><Relationship  Id="rId24" Type="http://schemas.openxmlformats.org/officeDocument/2006/relationships/sharedStrings" Target="sharedStrings.xml"/><Relationship  Id="rId25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3" zoomScale="100" workbookViewId="0">
      <selection activeCell="A1" activeCellId="0" sqref="A1"/>
    </sheetView>
  </sheetViews>
  <sheetFormatPr baseColWidth="10" defaultColWidth="9.1796875" defaultRowHeight="12.75"/>
  <cols>
    <col bestFit="1" min="1" max="1" width="13.453125"/>
    <col bestFit="1" min="5" max="5" width="11"/>
    <col bestFit="1" min="8" max="8" width="10.26953125"/>
    <col customWidth="1" min="9" max="9" style="1" width="6.1796875"/>
    <col bestFit="1" min="10" max="10" style="2" width="10.26953125"/>
    <col min="11" max="11" style="2" width="9.1796875"/>
    <col customWidth="1" min="12" max="12" style="1" width="6.1796875"/>
    <col customWidth="1" min="14" max="14" style="1" width="6.1796875"/>
    <col min="15" max="15" style="2" width="9.1796875"/>
  </cols>
  <sheetData>
    <row r="1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>
      <c r="A2" t="s">
        <v>5</v>
      </c>
      <c r="B2">
        <v>55000</v>
      </c>
      <c r="D2">
        <v>55000</v>
      </c>
      <c r="E2" s="3">
        <v>45332</v>
      </c>
      <c r="J2" s="2"/>
      <c r="O2" s="2"/>
    </row>
    <row r="3">
      <c r="A3" t="s">
        <v>6</v>
      </c>
      <c r="B3">
        <v>21981</v>
      </c>
      <c r="D3">
        <v>2400</v>
      </c>
      <c r="E3" s="3">
        <v>45335</v>
      </c>
      <c r="H3" s="2"/>
      <c r="I3" s="1"/>
      <c r="J3" s="2"/>
      <c r="L3" s="1"/>
      <c r="M3" s="2"/>
      <c r="N3" s="1"/>
      <c r="O3" s="2"/>
    </row>
    <row r="4">
      <c r="A4" t="s">
        <v>7</v>
      </c>
      <c r="B4">
        <v>0</v>
      </c>
      <c r="C4">
        <v>0</v>
      </c>
      <c r="E4" s="3">
        <v>45335</v>
      </c>
      <c r="H4" s="2"/>
      <c r="I4" s="1"/>
      <c r="J4" s="2"/>
      <c r="L4" s="1"/>
      <c r="M4" s="2"/>
      <c r="N4" s="1"/>
      <c r="O4" s="2"/>
    </row>
    <row r="5">
      <c r="A5" t="s">
        <v>8</v>
      </c>
      <c r="B5">
        <v>37661</v>
      </c>
      <c r="D5">
        <v>6728</v>
      </c>
      <c r="E5" s="3">
        <v>45337</v>
      </c>
      <c r="H5" s="2"/>
      <c r="I5" s="1"/>
      <c r="J5" s="2"/>
      <c r="K5" s="2"/>
      <c r="L5" s="1"/>
      <c r="M5" s="2"/>
      <c r="N5" s="1"/>
      <c r="O5" s="2"/>
    </row>
    <row r="6">
      <c r="A6" t="s">
        <v>9</v>
      </c>
      <c r="B6">
        <v>0</v>
      </c>
      <c r="C6">
        <v>17</v>
      </c>
      <c r="E6" s="3">
        <v>45337</v>
      </c>
      <c r="H6" s="2"/>
      <c r="I6" s="1"/>
      <c r="J6" s="2"/>
      <c r="L6" s="1"/>
      <c r="M6" s="2"/>
      <c r="N6" s="1"/>
      <c r="O6" s="2"/>
    </row>
    <row r="7">
      <c r="A7" t="s">
        <v>10</v>
      </c>
      <c r="B7">
        <v>8176</v>
      </c>
      <c r="D7">
        <v>2750</v>
      </c>
      <c r="E7" s="3">
        <v>45336</v>
      </c>
      <c r="H7" s="2"/>
      <c r="J7" s="2"/>
      <c r="M7" s="2"/>
      <c r="N7" s="1"/>
      <c r="O7" s="2"/>
    </row>
    <row r="8">
      <c r="A8" t="s">
        <v>11</v>
      </c>
      <c r="B8">
        <v>8387</v>
      </c>
      <c r="D8">
        <v>2170</v>
      </c>
      <c r="E8" s="3">
        <v>45341</v>
      </c>
      <c r="H8" s="2"/>
      <c r="I8" s="1"/>
      <c r="J8" s="2"/>
      <c r="M8" s="2"/>
      <c r="N8" s="1"/>
    </row>
    <row r="9">
      <c r="A9" t="s">
        <v>12</v>
      </c>
      <c r="B9">
        <v>843</v>
      </c>
      <c r="D9">
        <v>0</v>
      </c>
      <c r="E9" s="3">
        <v>45097</v>
      </c>
      <c r="H9" s="2"/>
      <c r="I9" s="1"/>
      <c r="J9" s="2"/>
      <c r="M9" s="2"/>
    </row>
    <row r="10">
      <c r="A10" t="s">
        <v>13</v>
      </c>
      <c r="B10">
        <v>3788</v>
      </c>
      <c r="D10">
        <v>0</v>
      </c>
      <c r="E10" s="3">
        <v>45201</v>
      </c>
      <c r="H10" s="2"/>
      <c r="I10" s="1"/>
      <c r="J10" s="2"/>
      <c r="L10" s="1"/>
    </row>
    <row r="11">
      <c r="A11" t="s">
        <v>14</v>
      </c>
      <c r="B11">
        <v>1600</v>
      </c>
      <c r="D11">
        <v>1600</v>
      </c>
      <c r="E11" s="3">
        <v>45097</v>
      </c>
      <c r="H11" s="2"/>
      <c r="I11" s="1"/>
      <c r="J11" s="2"/>
    </row>
    <row r="12">
      <c r="A12" t="s">
        <v>15</v>
      </c>
      <c r="B12">
        <v>6000</v>
      </c>
      <c r="E12" s="3"/>
      <c r="H12" s="2"/>
      <c r="I12" s="1"/>
      <c r="J12" s="2"/>
    </row>
    <row r="13">
      <c r="A13" t="s">
        <v>16</v>
      </c>
      <c r="B13">
        <v>4000</v>
      </c>
      <c r="E13" s="3"/>
      <c r="H13" s="2"/>
      <c r="I13" s="1"/>
      <c r="J13" s="2"/>
    </row>
    <row r="14">
      <c r="A14" t="s">
        <v>17</v>
      </c>
      <c r="B14">
        <v>2300</v>
      </c>
      <c r="E14" s="3"/>
      <c r="H14" s="2"/>
      <c r="I14" s="1"/>
      <c r="J14" s="2"/>
    </row>
    <row r="15">
      <c r="E15" s="3"/>
      <c r="H15" s="2"/>
      <c r="J15" s="2"/>
    </row>
    <row r="16">
      <c r="E16" s="3"/>
      <c r="H16" s="2"/>
      <c r="J16" s="2"/>
    </row>
    <row r="17">
      <c r="A17" t="s">
        <v>18</v>
      </c>
      <c r="B17">
        <v>124000</v>
      </c>
      <c r="E17" s="3"/>
      <c r="H17" s="2"/>
      <c r="J17" s="2"/>
    </row>
    <row r="18">
      <c r="A18" t="s">
        <v>19</v>
      </c>
      <c r="C18">
        <v>11</v>
      </c>
      <c r="E18" s="3"/>
      <c r="G18" s="4"/>
      <c r="H18" s="5"/>
      <c r="J18" s="2"/>
    </row>
    <row r="19">
      <c r="A19" s="4" t="s">
        <v>1</v>
      </c>
      <c r="B19" s="4">
        <f>SUM(B17:B18)</f>
        <v>124000</v>
      </c>
      <c r="C19" s="4"/>
      <c r="E19" s="3"/>
      <c r="G19" s="6"/>
      <c r="H19" s="7"/>
      <c r="J19" s="2"/>
    </row>
    <row r="20">
      <c r="E20" s="3"/>
      <c r="H20" s="2"/>
      <c r="J20" s="2"/>
      <c r="M20" s="2"/>
      <c r="O20" s="2"/>
    </row>
    <row r="21">
      <c r="E21" s="3"/>
      <c r="J21" s="2"/>
      <c r="O21" s="2"/>
    </row>
    <row r="22">
      <c r="E22" s="3"/>
      <c r="H22" s="2"/>
      <c r="J22" s="2"/>
      <c r="M22" s="2"/>
      <c r="O22" s="2"/>
    </row>
    <row r="23">
      <c r="E23" s="3"/>
      <c r="J23" s="2"/>
      <c r="O23" s="2"/>
    </row>
    <row r="24">
      <c r="E24" s="3"/>
      <c r="J24" s="2"/>
      <c r="O24" s="2"/>
    </row>
    <row r="25">
      <c r="E25" s="3"/>
    </row>
    <row r="26">
      <c r="E26" s="3"/>
    </row>
    <row r="27">
      <c r="E27" s="3"/>
      <c r="J27" s="2"/>
    </row>
    <row r="28">
      <c r="E28" s="3"/>
      <c r="J28" s="2"/>
    </row>
    <row r="29">
      <c r="E29" s="3"/>
      <c r="J29" s="2"/>
      <c r="K29" s="2"/>
    </row>
    <row r="30">
      <c r="E30" s="3"/>
      <c r="J30" s="2"/>
    </row>
    <row r="31">
      <c r="E31" s="3"/>
      <c r="J31" s="2"/>
      <c r="K31" s="2"/>
    </row>
    <row r="32">
      <c r="E32" s="3"/>
      <c r="J32" s="2"/>
    </row>
    <row r="33">
      <c r="E33" s="3"/>
      <c r="J33" s="2"/>
      <c r="K33" s="2"/>
    </row>
    <row r="34">
      <c r="E34" s="3"/>
      <c r="J34" s="2"/>
    </row>
    <row r="35">
      <c r="A35" s="6"/>
      <c r="B35" s="6"/>
      <c r="C35" s="6"/>
      <c r="D35" s="6"/>
      <c r="E35" s="3"/>
      <c r="J35" s="2"/>
    </row>
    <row r="36">
      <c r="E36" s="3"/>
      <c r="J36" s="2"/>
    </row>
    <row r="37">
      <c r="E37" s="3"/>
      <c r="J37" s="2"/>
    </row>
    <row r="38">
      <c r="E38" s="3"/>
      <c r="J38" s="2"/>
    </row>
    <row r="39">
      <c r="A39" s="4"/>
      <c r="B39" s="4"/>
      <c r="C39" s="4"/>
      <c r="E39" s="3"/>
      <c r="J39" s="2"/>
    </row>
    <row r="40">
      <c r="A40" s="6"/>
      <c r="B40" s="6"/>
      <c r="C40" s="6"/>
      <c r="D40" s="6"/>
      <c r="E40" s="3"/>
      <c r="J40" s="2"/>
    </row>
    <row r="41">
      <c r="J41" s="2"/>
    </row>
    <row r="42">
      <c r="J42" s="2"/>
    </row>
    <row r="43" ht="12.75">
      <c r="J43" s="2"/>
    </row>
    <row r="44">
      <c r="J44" s="2"/>
    </row>
    <row r="46" ht="12.75">
      <c r="J46" s="2"/>
    </row>
    <row r="47"/>
    <row r="48">
      <c r="J48" s="2"/>
    </row>
    <row r="49">
      <c r="J49" s="2"/>
    </row>
    <row r="50">
      <c r="J50" s="2"/>
    </row>
    <row r="51">
      <c r="J51" s="2"/>
    </row>
    <row r="52">
      <c r="J52" s="2"/>
    </row>
    <row r="53">
      <c r="J53" s="2"/>
    </row>
    <row r="54">
      <c r="J54" s="2"/>
    </row>
    <row r="55">
      <c r="J55" s="2"/>
    </row>
    <row r="56">
      <c r="J56" s="2"/>
    </row>
    <row r="57">
      <c r="J57" s="2"/>
    </row>
    <row r="58">
      <c r="J58" s="2"/>
    </row>
    <row r="59" ht="12.75">
      <c r="J59" s="2"/>
    </row>
    <row r="60" ht="12.75">
      <c r="J60" s="2"/>
    </row>
    <row r="61">
      <c r="J61" s="2"/>
    </row>
    <row r="62">
      <c r="J62" s="2"/>
    </row>
    <row r="63">
      <c r="J63" s="2"/>
    </row>
    <row r="64" ht="12.75">
      <c r="J64" s="2"/>
    </row>
    <row r="65">
      <c r="J65" s="2"/>
    </row>
    <row r="67" ht="12.75">
      <c r="J67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2" zoomScale="100" workbookViewId="0">
      <selection activeCell="A1" activeCellId="0" sqref="A1"/>
    </sheetView>
  </sheetViews>
  <sheetFormatPr baseColWidth="10" defaultColWidth="9.1796875" defaultRowHeight="12.75"/>
  <cols>
    <col bestFit="1" min="1" max="1" width="14.81640625"/>
    <col bestFit="1" min="2" max="2" style="2" width="10.453125"/>
    <col min="3" max="3" style="2" width="9.1796875"/>
    <col bestFit="1" min="4" max="4" style="2" width="10.81640625"/>
    <col bestFit="1" min="5" max="5" width="13.1796875"/>
  </cols>
  <sheetData>
    <row r="1">
      <c r="A1" s="8" t="s">
        <v>20</v>
      </c>
      <c r="B1" s="8"/>
      <c r="C1" s="8"/>
      <c r="D1" s="8"/>
      <c r="E1" s="8"/>
    </row>
    <row r="2">
      <c r="A2" s="8"/>
      <c r="B2" s="8"/>
      <c r="C2" s="8"/>
      <c r="D2" s="8"/>
      <c r="E2" s="8"/>
    </row>
    <row r="3" ht="14.25">
      <c r="A3" s="9" t="s">
        <v>0</v>
      </c>
      <c r="B3" s="10" t="s">
        <v>1</v>
      </c>
      <c r="C3" s="10" t="s">
        <v>2</v>
      </c>
      <c r="D3" s="10" t="s">
        <v>3</v>
      </c>
      <c r="E3" s="11" t="s">
        <v>4</v>
      </c>
    </row>
    <row r="4" ht="13">
      <c r="A4" s="12" t="s">
        <v>5</v>
      </c>
      <c r="B4" s="13">
        <v>55000</v>
      </c>
      <c r="C4" s="13"/>
      <c r="D4" s="13">
        <v>55000</v>
      </c>
      <c r="E4" s="14">
        <v>45361</v>
      </c>
    </row>
    <row r="5" ht="13">
      <c r="A5" s="12" t="s">
        <v>6</v>
      </c>
      <c r="B5" s="13">
        <v>26827</v>
      </c>
      <c r="C5" s="13"/>
      <c r="D5" s="13">
        <v>3600</v>
      </c>
      <c r="E5" s="14">
        <v>45364</v>
      </c>
    </row>
    <row r="6" ht="13">
      <c r="A6" s="12" t="s">
        <v>7</v>
      </c>
      <c r="B6" s="13">
        <v>0</v>
      </c>
      <c r="C6" s="13">
        <v>0</v>
      </c>
      <c r="D6" s="13"/>
      <c r="E6" s="14">
        <v>45364</v>
      </c>
    </row>
    <row r="7" ht="13">
      <c r="A7" s="12" t="s">
        <v>8</v>
      </c>
      <c r="B7" s="13">
        <v>51849</v>
      </c>
      <c r="C7" s="13"/>
      <c r="D7" s="13">
        <v>9357</v>
      </c>
      <c r="E7" s="14">
        <v>45365</v>
      </c>
    </row>
    <row r="8" ht="13">
      <c r="A8" s="12" t="s">
        <v>9</v>
      </c>
      <c r="B8" s="13">
        <v>0</v>
      </c>
      <c r="C8" s="13">
        <v>17</v>
      </c>
      <c r="D8" s="13"/>
      <c r="E8" s="14">
        <v>45365</v>
      </c>
    </row>
    <row r="9" ht="13">
      <c r="A9" s="12" t="s">
        <v>10</v>
      </c>
      <c r="B9" s="13">
        <v>12990</v>
      </c>
      <c r="C9" s="13"/>
      <c r="D9" s="13">
        <v>2850</v>
      </c>
      <c r="E9" s="14">
        <v>45366</v>
      </c>
    </row>
    <row r="10" ht="13">
      <c r="A10" s="12" t="s">
        <v>11</v>
      </c>
      <c r="B10" s="13">
        <v>8728</v>
      </c>
      <c r="C10" s="13"/>
      <c r="D10" s="13">
        <v>2530</v>
      </c>
      <c r="E10" s="14">
        <v>45365</v>
      </c>
    </row>
    <row r="11" ht="13">
      <c r="A11" s="12" t="s">
        <v>12</v>
      </c>
      <c r="B11" s="13">
        <v>1352</v>
      </c>
      <c r="C11" s="13"/>
      <c r="D11" s="13">
        <v>0</v>
      </c>
      <c r="E11" s="14">
        <v>45366</v>
      </c>
    </row>
    <row r="12" ht="13">
      <c r="A12" s="12" t="s">
        <v>13</v>
      </c>
      <c r="B12" s="13">
        <v>1073</v>
      </c>
      <c r="C12" s="13"/>
      <c r="D12" s="13">
        <v>0</v>
      </c>
      <c r="E12" s="14">
        <v>45383</v>
      </c>
    </row>
    <row r="13" ht="13">
      <c r="A13" s="12" t="s">
        <v>14</v>
      </c>
      <c r="B13" s="13">
        <v>1631</v>
      </c>
      <c r="C13" s="13"/>
      <c r="D13" s="13">
        <v>1631</v>
      </c>
      <c r="E13" s="14">
        <v>45371</v>
      </c>
    </row>
    <row r="14" ht="13">
      <c r="A14" s="12" t="s">
        <v>21</v>
      </c>
      <c r="B14" s="13" t="e">
        <f>#REF!*2</f>
        <v>#REF!</v>
      </c>
      <c r="C14" s="13"/>
      <c r="D14" s="13"/>
      <c r="E14" s="14">
        <v>45382</v>
      </c>
    </row>
    <row r="15" ht="13">
      <c r="A15" s="12"/>
      <c r="B15" s="13"/>
      <c r="C15" s="13"/>
      <c r="D15" s="13"/>
      <c r="E15" s="14"/>
    </row>
    <row r="16" ht="13">
      <c r="A16" s="12"/>
      <c r="B16" s="13"/>
      <c r="C16" s="13"/>
      <c r="D16" s="13"/>
      <c r="E16" s="14"/>
    </row>
    <row r="17">
      <c r="B17" s="2"/>
      <c r="C17" s="2"/>
      <c r="D17" s="2"/>
      <c r="E17" s="3"/>
    </row>
    <row r="18">
      <c r="A18" s="15" t="s">
        <v>22</v>
      </c>
      <c r="B18" s="15"/>
      <c r="C18" s="15"/>
      <c r="D18" s="15"/>
      <c r="E18" s="16" t="s">
        <v>23</v>
      </c>
    </row>
    <row r="19">
      <c r="A19" s="15"/>
      <c r="B19" s="15"/>
      <c r="C19" s="15"/>
      <c r="D19" s="15"/>
      <c r="E19" s="16"/>
    </row>
    <row r="20">
      <c r="A20" s="17" t="s">
        <v>18</v>
      </c>
      <c r="B20" s="13">
        <v>166000</v>
      </c>
      <c r="C20" s="13"/>
      <c r="D20" s="13"/>
      <c r="E20" s="13">
        <v>40</v>
      </c>
    </row>
    <row r="21" ht="13">
      <c r="A21" s="17" t="s">
        <v>24</v>
      </c>
      <c r="B21" s="13"/>
      <c r="C21" s="13">
        <v>30</v>
      </c>
      <c r="D21" s="13"/>
      <c r="E21" s="3"/>
    </row>
    <row r="22" ht="13">
      <c r="A22" s="17"/>
      <c r="B22" s="13"/>
      <c r="C22" s="13"/>
      <c r="D22" s="13"/>
      <c r="E22" s="3"/>
    </row>
    <row r="23" ht="13">
      <c r="A23" s="17"/>
      <c r="B23" s="13"/>
      <c r="C23" s="13"/>
      <c r="D23" s="13"/>
      <c r="E23" s="3"/>
    </row>
    <row r="24" ht="14.25">
      <c r="A24" s="18" t="s">
        <v>1</v>
      </c>
      <c r="B24" s="19">
        <f>SUM(B20:B23)</f>
        <v>166000</v>
      </c>
      <c r="C24" s="20"/>
      <c r="D24" s="13"/>
      <c r="E24" s="3"/>
    </row>
    <row r="25">
      <c r="B25" s="2"/>
      <c r="C25" s="2"/>
      <c r="D25" s="2"/>
    </row>
    <row r="26">
      <c r="B26" s="2"/>
    </row>
    <row r="27">
      <c r="B27" s="2"/>
      <c r="C27" s="2"/>
      <c r="D27" s="2"/>
    </row>
    <row r="28">
      <c r="B28" s="2"/>
      <c r="C28" s="2"/>
      <c r="D28" s="2"/>
    </row>
    <row r="29">
      <c r="B29" s="2"/>
      <c r="C29" s="2"/>
      <c r="D29" s="2"/>
    </row>
    <row r="30">
      <c r="B30" s="2"/>
      <c r="C30" s="2"/>
      <c r="D30" s="2"/>
    </row>
    <row r="31">
      <c r="B31" s="2"/>
      <c r="C31" s="2"/>
      <c r="D31" s="2"/>
    </row>
    <row r="32" ht="12.75">
      <c r="B32" s="2"/>
      <c r="C32" s="2"/>
      <c r="D32" s="2"/>
    </row>
    <row r="33" ht="12.75">
      <c r="B33" s="2"/>
      <c r="C33" s="2"/>
      <c r="D33" s="2"/>
    </row>
    <row r="34" ht="12.75">
      <c r="B34" s="2"/>
      <c r="C34" s="2"/>
      <c r="D34" s="2"/>
    </row>
    <row r="35" ht="12.75">
      <c r="B35" s="2"/>
      <c r="C35" s="2"/>
      <c r="D35" s="2"/>
    </row>
    <row r="36" ht="12.75">
      <c r="B36" s="2"/>
      <c r="C36" s="2"/>
      <c r="D36" s="2"/>
    </row>
    <row r="37" ht="12.75">
      <c r="B37" s="2"/>
      <c r="C37" s="2"/>
      <c r="D37" s="2"/>
    </row>
    <row r="38" ht="12.75">
      <c r="B38" s="2"/>
      <c r="C38" s="2"/>
      <c r="D38" s="2"/>
    </row>
    <row r="39" ht="12.75">
      <c r="B39" s="2"/>
      <c r="C39" s="2"/>
      <c r="D39" s="2"/>
    </row>
    <row r="40" ht="12.75">
      <c r="B40" s="2"/>
      <c r="C40" s="2"/>
      <c r="D40" s="2"/>
    </row>
    <row r="41" ht="12.75">
      <c r="B41" s="2"/>
      <c r="C41" s="2"/>
      <c r="D41" s="2"/>
    </row>
    <row r="42" ht="12.75">
      <c r="B42" s="2"/>
      <c r="C42" s="2"/>
      <c r="D42" s="2"/>
    </row>
    <row r="43" ht="12.75">
      <c r="B43" s="2"/>
      <c r="C43" s="2"/>
      <c r="D43" s="2"/>
    </row>
    <row r="44" ht="12.75">
      <c r="B44" s="2"/>
      <c r="C44" s="2"/>
      <c r="D44" s="2"/>
    </row>
    <row r="45" ht="12.75">
      <c r="B45" s="2"/>
      <c r="C45" s="2"/>
      <c r="D45" s="2"/>
    </row>
    <row r="46" ht="12.75"/>
    <row r="47" ht="12.75">
      <c r="B47" s="2"/>
      <c r="C47" s="2"/>
      <c r="D47" s="2"/>
    </row>
    <row r="48" ht="12.75">
      <c r="B48" s="2"/>
      <c r="C48" s="2"/>
      <c r="D48" s="2"/>
    </row>
    <row r="49" ht="12.75">
      <c r="B49" s="2"/>
      <c r="C49" s="2"/>
      <c r="D49" s="2"/>
    </row>
    <row r="50" ht="12.75">
      <c r="B50" s="2"/>
      <c r="C50" s="2"/>
      <c r="D50" s="2"/>
    </row>
    <row r="51" ht="12.75">
      <c r="B51" s="2"/>
      <c r="C51" s="2"/>
      <c r="D51" s="2"/>
    </row>
    <row r="52" ht="12.75">
      <c r="B52" s="2"/>
      <c r="C52" s="2"/>
      <c r="D52" s="2"/>
    </row>
    <row r="53" ht="12.75">
      <c r="B53" s="2"/>
    </row>
    <row r="54" ht="12.75">
      <c r="B54" s="2"/>
    </row>
    <row r="55" ht="12.75">
      <c r="B55" s="2"/>
    </row>
    <row r="56" ht="12.75">
      <c r="B56" s="2"/>
    </row>
    <row r="57" ht="12.75">
      <c r="B57" s="2"/>
    </row>
    <row r="58" ht="12.75"/>
    <row r="59" ht="12.75">
      <c r="B59" s="2"/>
    </row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</sheetData>
  <mergeCells count="3">
    <mergeCell ref="A1:E2"/>
    <mergeCell ref="A18:D19"/>
    <mergeCell ref="E18:E1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A1" activeCellId="0" sqref="A1:E2"/>
    </sheetView>
  </sheetViews>
  <sheetFormatPr baseColWidth="10" defaultColWidth="9.1796875" defaultRowHeight="12.75"/>
  <cols>
    <col bestFit="1" min="1" max="1" width="14.81640625"/>
    <col bestFit="1" min="2" max="2" style="21" width="11"/>
    <col bestFit="1" min="3" max="3" width="9.26953125"/>
    <col bestFit="1" min="4" max="4" style="21" width="11"/>
    <col bestFit="1" min="5" max="5" width="13.1796875"/>
  </cols>
  <sheetData>
    <row r="1">
      <c r="A1" s="22" t="s">
        <v>20</v>
      </c>
      <c r="B1" s="23"/>
      <c r="C1" s="24"/>
      <c r="D1" s="23"/>
      <c r="E1" s="25"/>
    </row>
    <row r="2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55000</v>
      </c>
      <c r="C4" s="13"/>
      <c r="D4" s="28">
        <v>55000</v>
      </c>
      <c r="E4" s="14">
        <v>45392</v>
      </c>
    </row>
    <row r="5" ht="13">
      <c r="A5" s="12" t="s">
        <v>6</v>
      </c>
      <c r="B5" s="28">
        <v>17183</v>
      </c>
      <c r="C5" s="13"/>
      <c r="D5" s="28">
        <v>3800</v>
      </c>
      <c r="E5" s="14">
        <v>45397</v>
      </c>
    </row>
    <row r="6" ht="13">
      <c r="A6" s="12" t="s">
        <v>7</v>
      </c>
      <c r="B6" s="28">
        <v>0</v>
      </c>
      <c r="C6" s="13">
        <v>0</v>
      </c>
      <c r="D6" s="28"/>
      <c r="E6" s="14">
        <v>45397</v>
      </c>
    </row>
    <row r="7" ht="13">
      <c r="A7" s="12" t="s">
        <v>8</v>
      </c>
      <c r="B7" s="28">
        <v>31225</v>
      </c>
      <c r="C7" s="13"/>
      <c r="D7" s="28">
        <v>5712</v>
      </c>
      <c r="E7" s="14">
        <v>45397</v>
      </c>
    </row>
    <row r="8" ht="13">
      <c r="A8" s="12" t="s">
        <v>9</v>
      </c>
      <c r="B8" s="28">
        <f>C8*E21</f>
        <v>680</v>
      </c>
      <c r="C8" s="13">
        <v>17</v>
      </c>
      <c r="D8" s="28"/>
      <c r="E8" s="14">
        <v>45397</v>
      </c>
    </row>
    <row r="9" ht="13">
      <c r="A9" s="12" t="s">
        <v>10</v>
      </c>
      <c r="B9" s="28">
        <v>3341</v>
      </c>
      <c r="C9" s="13"/>
      <c r="D9" s="28">
        <v>0</v>
      </c>
      <c r="E9" s="14">
        <v>45397</v>
      </c>
    </row>
    <row r="10" ht="13">
      <c r="A10" s="12" t="s">
        <v>11</v>
      </c>
      <c r="B10" s="28">
        <v>2866</v>
      </c>
      <c r="C10" s="13"/>
      <c r="D10" s="28">
        <v>310</v>
      </c>
      <c r="E10" s="14">
        <v>45394</v>
      </c>
    </row>
    <row r="11" ht="13">
      <c r="A11" s="12" t="s">
        <v>12</v>
      </c>
      <c r="B11" s="28">
        <v>664</v>
      </c>
      <c r="C11" s="13"/>
      <c r="D11" s="28">
        <v>0</v>
      </c>
      <c r="E11" s="14">
        <v>45397</v>
      </c>
    </row>
    <row r="12" ht="13">
      <c r="A12" s="12" t="s">
        <v>13</v>
      </c>
      <c r="B12" s="28">
        <v>1742</v>
      </c>
      <c r="C12" s="13"/>
      <c r="D12" s="28">
        <v>0</v>
      </c>
      <c r="E12" s="14">
        <v>45383</v>
      </c>
    </row>
    <row r="13" ht="13">
      <c r="A13" s="12" t="s">
        <v>14</v>
      </c>
      <c r="B13" s="28">
        <v>1631</v>
      </c>
      <c r="C13" s="13"/>
      <c r="D13" s="28">
        <v>1631</v>
      </c>
      <c r="E13" s="14">
        <v>45402</v>
      </c>
    </row>
    <row r="14" ht="13">
      <c r="A14" s="12" t="s">
        <v>21</v>
      </c>
      <c r="B14" s="28" t="e">
        <f>#REF!</f>
        <v>#REF!</v>
      </c>
      <c r="C14" s="13"/>
      <c r="D14" s="28"/>
      <c r="E14" s="14">
        <v>45381</v>
      </c>
    </row>
    <row r="15" ht="13">
      <c r="A15" s="12" t="s">
        <v>25</v>
      </c>
      <c r="B15" s="28">
        <v>1050</v>
      </c>
      <c r="C15" s="13"/>
      <c r="D15" s="28"/>
      <c r="E15" s="14"/>
    </row>
    <row r="16" ht="13">
      <c r="A16" s="12" t="s">
        <v>26</v>
      </c>
      <c r="B16" s="28">
        <f>C21*E21</f>
        <v>400</v>
      </c>
      <c r="C16" s="13"/>
      <c r="D16" s="28"/>
      <c r="E16" s="14"/>
    </row>
    <row r="17" ht="13">
      <c r="A17" s="12"/>
      <c r="B17" s="28"/>
      <c r="C17" s="13"/>
      <c r="D17" s="28"/>
      <c r="E17" s="14"/>
    </row>
    <row r="18">
      <c r="A18" s="29"/>
      <c r="B18" s="30"/>
      <c r="C18" s="31"/>
      <c r="D18" s="30"/>
      <c r="E18" s="32"/>
    </row>
    <row r="19">
      <c r="A19" s="33" t="s">
        <v>22</v>
      </c>
      <c r="B19" s="23"/>
      <c r="C19" s="34"/>
      <c r="D19" s="35"/>
      <c r="E19" s="36" t="s">
        <v>23</v>
      </c>
    </row>
    <row r="20" ht="12.75" customHeight="1">
      <c r="A20" s="15"/>
      <c r="B20" s="26"/>
      <c r="C20" s="15"/>
      <c r="D20" s="26"/>
      <c r="E20" s="16"/>
    </row>
    <row r="21" ht="12.75" customHeight="1">
      <c r="A21" s="37" t="s">
        <v>26</v>
      </c>
      <c r="B21" s="38"/>
      <c r="C21" s="39">
        <v>10</v>
      </c>
      <c r="D21" s="38"/>
      <c r="E21" s="13">
        <v>40</v>
      </c>
    </row>
    <row r="22" ht="13">
      <c r="A22" s="17" t="s">
        <v>18</v>
      </c>
      <c r="B22" s="28">
        <v>115000</v>
      </c>
      <c r="C22" s="13"/>
      <c r="D22" s="28"/>
    </row>
    <row r="23" ht="13">
      <c r="A23" s="17" t="s">
        <v>27</v>
      </c>
      <c r="B23" s="28"/>
      <c r="C23" s="13">
        <v>30</v>
      </c>
      <c r="D23" s="28"/>
      <c r="E23" s="3"/>
    </row>
    <row r="24" ht="13">
      <c r="A24" s="17" t="s">
        <v>28</v>
      </c>
      <c r="B24" s="28">
        <v>10000</v>
      </c>
      <c r="C24" s="13"/>
      <c r="D24" s="28"/>
      <c r="E24" s="3"/>
    </row>
    <row r="25">
      <c r="B25" s="21"/>
      <c r="C25" s="2"/>
      <c r="D25" s="21"/>
    </row>
    <row r="26">
      <c r="B26" s="21"/>
      <c r="C26" s="2"/>
      <c r="D26" s="21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 ht="12.75">
      <c r="B38" s="21"/>
      <c r="D38" s="21"/>
    </row>
    <row r="39" ht="12.75">
      <c r="B39" s="21"/>
      <c r="D39" s="21"/>
    </row>
    <row r="40" ht="12.75">
      <c r="B40" s="21"/>
      <c r="D40" s="21"/>
    </row>
    <row r="41" ht="12.75">
      <c r="B41" s="21"/>
      <c r="D41" s="21"/>
    </row>
    <row r="42" ht="12.75">
      <c r="B42" s="21"/>
      <c r="D42" s="21"/>
    </row>
    <row r="43" ht="12.75">
      <c r="B43" s="21"/>
      <c r="D43" s="21"/>
    </row>
    <row r="44" ht="12.75">
      <c r="B44" s="21"/>
      <c r="D44" s="21"/>
    </row>
    <row r="45" ht="12.75">
      <c r="B45" s="21"/>
      <c r="D45" s="21"/>
    </row>
    <row r="46" ht="12.75">
      <c r="B46" s="21"/>
      <c r="D46" s="21"/>
    </row>
    <row r="47" ht="12.75">
      <c r="B47" s="21"/>
      <c r="D47" s="21"/>
    </row>
    <row r="48" ht="12.75">
      <c r="B48" s="21"/>
      <c r="D48" s="21"/>
    </row>
    <row r="49" ht="12.75">
      <c r="B49" s="21"/>
      <c r="D49" s="21"/>
    </row>
    <row r="50" ht="12.75">
      <c r="B50" s="21"/>
      <c r="D50" s="21"/>
    </row>
    <row r="51" ht="12.75">
      <c r="B51" s="21"/>
      <c r="D51" s="21"/>
    </row>
    <row r="52" ht="12.75">
      <c r="B52" s="21"/>
      <c r="D52" s="21"/>
    </row>
    <row r="53" ht="12.75">
      <c r="B53" s="21"/>
      <c r="D53" s="21"/>
    </row>
    <row r="54" ht="12.75">
      <c r="B54" s="21"/>
    </row>
    <row r="55" ht="12.75">
      <c r="B55" s="21"/>
    </row>
    <row r="56" ht="12.75">
      <c r="B56" s="21"/>
    </row>
    <row r="57" ht="12.75">
      <c r="B57" s="21"/>
    </row>
    <row r="58" ht="12.75">
      <c r="B58" s="21"/>
    </row>
    <row r="59" ht="12.75">
      <c r="B59" s="21"/>
    </row>
    <row r="60" ht="12.75"/>
    <row r="61" ht="12.75">
      <c r="B61" s="21"/>
    </row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</sheetData>
  <mergeCells count="3">
    <mergeCell ref="A1:E2"/>
    <mergeCell ref="A19:D20"/>
    <mergeCell ref="E19:E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4" zoomScale="100" workbookViewId="0">
      <selection activeCell="B10" activeCellId="0" sqref="B10"/>
    </sheetView>
  </sheetViews>
  <sheetFormatPr baseColWidth="10" defaultColWidth="9.1796875" defaultRowHeight="12.75"/>
  <cols>
    <col bestFit="1" min="1" max="1" width="13.7265625"/>
    <col bestFit="1" min="2" max="2" width="11"/>
    <col bestFit="1" min="3" max="3" width="8.453125"/>
    <col bestFit="1" min="4" max="4" width="11"/>
    <col bestFit="1" min="5" max="5" width="13.1796875"/>
  </cols>
  <sheetData>
    <row r="1">
      <c r="A1" s="22" t="s">
        <v>20</v>
      </c>
      <c r="B1" s="24"/>
      <c r="C1" s="24"/>
      <c r="D1" s="24"/>
      <c r="E1" s="25"/>
    </row>
    <row r="2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55000</v>
      </c>
      <c r="C4" s="13"/>
      <c r="D4" s="28">
        <v>55000</v>
      </c>
      <c r="E4" s="14">
        <v>45422</v>
      </c>
    </row>
    <row r="5" ht="13">
      <c r="A5" s="12" t="s">
        <v>6</v>
      </c>
      <c r="B5" s="28">
        <v>24488</v>
      </c>
      <c r="C5" s="13"/>
      <c r="D5" s="28">
        <v>3800</v>
      </c>
      <c r="E5" s="14">
        <v>45425</v>
      </c>
    </row>
    <row r="6" ht="13">
      <c r="A6" s="12" t="s">
        <v>7</v>
      </c>
      <c r="B6" s="28">
        <v>0</v>
      </c>
      <c r="C6" s="13">
        <v>0</v>
      </c>
      <c r="D6" s="28"/>
      <c r="E6" s="14">
        <v>45425</v>
      </c>
    </row>
    <row r="7" ht="13">
      <c r="A7" s="12" t="s">
        <v>8</v>
      </c>
      <c r="B7" s="28">
        <v>29645</v>
      </c>
      <c r="C7" s="13"/>
      <c r="D7" s="28">
        <v>5921</v>
      </c>
      <c r="E7" s="14">
        <v>45425</v>
      </c>
    </row>
    <row r="8" ht="13">
      <c r="A8" s="12" t="s">
        <v>9</v>
      </c>
      <c r="B8" s="28">
        <v>0</v>
      </c>
      <c r="C8" s="13">
        <v>18.5</v>
      </c>
      <c r="D8" s="28"/>
      <c r="E8" s="14">
        <v>45425</v>
      </c>
    </row>
    <row r="9" ht="13">
      <c r="A9" s="12" t="s">
        <v>10</v>
      </c>
      <c r="B9" s="28">
        <v>8582</v>
      </c>
      <c r="C9" s="13"/>
      <c r="D9" s="28">
        <v>2600</v>
      </c>
      <c r="E9" s="14">
        <v>45427</v>
      </c>
    </row>
    <row r="10" ht="13">
      <c r="A10" s="12" t="s">
        <v>11</v>
      </c>
      <c r="B10" s="28">
        <v>4656</v>
      </c>
      <c r="C10" s="13"/>
      <c r="D10" s="28">
        <v>490</v>
      </c>
      <c r="E10" s="14">
        <v>45428</v>
      </c>
    </row>
    <row r="11" ht="13">
      <c r="A11" s="12" t="s">
        <v>12</v>
      </c>
      <c r="B11" s="28">
        <v>600</v>
      </c>
      <c r="C11" s="13"/>
      <c r="D11" s="28">
        <v>0</v>
      </c>
      <c r="E11" s="14">
        <v>45397</v>
      </c>
    </row>
    <row r="12" ht="13">
      <c r="A12" s="12" t="s">
        <v>13</v>
      </c>
      <c r="B12" s="28">
        <v>1404</v>
      </c>
      <c r="C12" s="13"/>
      <c r="D12" s="28">
        <v>0</v>
      </c>
      <c r="E12" s="14">
        <v>45444</v>
      </c>
    </row>
    <row r="13" ht="13">
      <c r="A13" s="12" t="s">
        <v>14</v>
      </c>
      <c r="B13" s="28">
        <v>1631</v>
      </c>
      <c r="C13" s="13"/>
      <c r="D13" s="28">
        <v>1631</v>
      </c>
      <c r="E13" s="14">
        <v>45432</v>
      </c>
    </row>
    <row r="14" ht="13">
      <c r="A14" s="12" t="s">
        <v>21</v>
      </c>
      <c r="B14" s="28" t="e">
        <f>#REF!</f>
        <v>#REF!</v>
      </c>
      <c r="C14" s="13"/>
      <c r="D14" s="28"/>
      <c r="E14" s="14">
        <v>45442</v>
      </c>
    </row>
    <row r="15" ht="13">
      <c r="A15" s="12" t="s">
        <v>29</v>
      </c>
      <c r="B15" s="28">
        <v>29000</v>
      </c>
      <c r="C15" s="13"/>
      <c r="D15" s="28"/>
      <c r="E15" s="14"/>
    </row>
    <row r="16" ht="13">
      <c r="A16" s="12" t="s">
        <v>30</v>
      </c>
      <c r="B16" s="28">
        <v>8000</v>
      </c>
      <c r="C16" s="13"/>
      <c r="D16" s="28"/>
      <c r="E16" s="14"/>
    </row>
    <row r="17">
      <c r="A17" s="29"/>
      <c r="B17" s="30"/>
      <c r="C17" s="31"/>
      <c r="D17" s="30"/>
      <c r="E17" s="32"/>
    </row>
    <row r="18">
      <c r="A18" s="33" t="s">
        <v>22</v>
      </c>
      <c r="B18" s="34"/>
      <c r="C18" s="34"/>
      <c r="D18" s="40"/>
      <c r="E18" s="36" t="s">
        <v>23</v>
      </c>
    </row>
    <row r="19">
      <c r="A19" s="15"/>
      <c r="B19" s="26"/>
      <c r="C19" s="15"/>
      <c r="D19" s="26"/>
      <c r="E19" s="16"/>
    </row>
    <row r="20" ht="16.5">
      <c r="A20" s="37" t="s">
        <v>26</v>
      </c>
      <c r="B20" s="38"/>
      <c r="C20" s="39">
        <v>0</v>
      </c>
      <c r="D20" s="38"/>
      <c r="E20" s="13">
        <v>40</v>
      </c>
    </row>
    <row r="21">
      <c r="A21" s="17" t="s">
        <v>18</v>
      </c>
      <c r="B21" s="28">
        <v>115000</v>
      </c>
      <c r="C21" s="13"/>
      <c r="D21" s="28"/>
    </row>
    <row r="22">
      <c r="A22" s="17" t="s">
        <v>27</v>
      </c>
      <c r="B22" s="28"/>
      <c r="C22" s="13">
        <v>23</v>
      </c>
      <c r="D22" s="28"/>
      <c r="E22" s="3"/>
    </row>
    <row r="23">
      <c r="A23" s="17" t="s">
        <v>28</v>
      </c>
      <c r="B23" s="28">
        <v>11000</v>
      </c>
      <c r="C23" s="13"/>
      <c r="D23" s="28"/>
      <c r="E23" s="3"/>
    </row>
    <row r="24">
      <c r="B24" s="21"/>
      <c r="C24" s="2"/>
      <c r="D24" s="21"/>
    </row>
    <row r="25">
      <c r="B25" s="21"/>
      <c r="C25" s="2"/>
      <c r="D25" s="21"/>
    </row>
    <row r="26">
      <c r="B26" s="21"/>
      <c r="C26" s="2"/>
      <c r="D26" s="21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/>
    <row r="38"/>
    <row r="39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</sheetData>
  <mergeCells count="3">
    <mergeCell ref="A1:E2"/>
    <mergeCell ref="A18:D19"/>
    <mergeCell ref="E18:E1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8" zoomScale="100" workbookViewId="0">
      <selection activeCell="U33" activeCellId="0" sqref="U33"/>
    </sheetView>
  </sheetViews>
  <sheetFormatPr baseColWidth="10" defaultColWidth="9.1796875" defaultRowHeight="12.75"/>
  <cols>
    <col bestFit="1" min="1" max="1" width="13.7265625"/>
    <col bestFit="1" min="2" max="2" width="11"/>
    <col bestFit="1" min="3" max="3" width="8.453125"/>
    <col bestFit="1" min="4" max="4" width="11"/>
    <col bestFit="1" min="5" max="5" width="13.1796875"/>
  </cols>
  <sheetData>
    <row r="1">
      <c r="A1" s="22" t="s">
        <v>20</v>
      </c>
      <c r="B1" s="24"/>
      <c r="C1" s="24"/>
      <c r="D1" s="24"/>
      <c r="E1" s="25"/>
    </row>
    <row r="2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14">
        <v>45453</v>
      </c>
    </row>
    <row r="5" ht="13">
      <c r="A5" s="12" t="s">
        <v>6</v>
      </c>
      <c r="B5" s="28">
        <v>38806.980000000003</v>
      </c>
      <c r="C5" s="13">
        <v>0</v>
      </c>
      <c r="D5" s="28">
        <v>5300</v>
      </c>
      <c r="E5" s="14">
        <v>45456</v>
      </c>
    </row>
    <row r="6" ht="13">
      <c r="A6" s="12" t="s">
        <v>7</v>
      </c>
      <c r="B6" s="28"/>
      <c r="C6" s="13">
        <v>0</v>
      </c>
      <c r="D6" s="28"/>
      <c r="E6" s="14">
        <v>45456</v>
      </c>
    </row>
    <row r="7" ht="13">
      <c r="A7" s="12" t="s">
        <v>8</v>
      </c>
      <c r="B7" s="28">
        <v>31686</v>
      </c>
      <c r="C7" s="13"/>
      <c r="D7" s="28">
        <v>5757</v>
      </c>
      <c r="E7" s="14">
        <v>45456</v>
      </c>
    </row>
    <row r="8" ht="13">
      <c r="A8" s="12" t="s">
        <v>9</v>
      </c>
      <c r="B8" s="28"/>
      <c r="C8" s="13">
        <v>18.43</v>
      </c>
      <c r="D8" s="28">
        <v>3.21</v>
      </c>
      <c r="E8" s="14">
        <v>45456</v>
      </c>
    </row>
    <row r="9" ht="13">
      <c r="A9" s="12" t="s">
        <v>10</v>
      </c>
      <c r="B9" s="28">
        <v>5988</v>
      </c>
      <c r="C9" s="13"/>
      <c r="D9" s="28">
        <v>650</v>
      </c>
      <c r="E9" s="14">
        <v>45457</v>
      </c>
    </row>
    <row r="10" ht="13">
      <c r="A10" s="12" t="s">
        <v>11</v>
      </c>
      <c r="B10" s="28">
        <v>11298.51</v>
      </c>
      <c r="C10" s="13"/>
      <c r="D10" s="28">
        <v>1170</v>
      </c>
      <c r="E10" s="14">
        <v>45456</v>
      </c>
    </row>
    <row r="11" ht="13">
      <c r="A11" s="12" t="s">
        <v>12</v>
      </c>
      <c r="B11" s="28">
        <v>664</v>
      </c>
      <c r="C11" s="13"/>
      <c r="D11" s="28"/>
      <c r="E11" s="14">
        <v>45460</v>
      </c>
    </row>
    <row r="12" ht="13">
      <c r="A12" s="12" t="s">
        <v>13</v>
      </c>
      <c r="B12" s="28">
        <v>1790</v>
      </c>
      <c r="C12" s="13"/>
      <c r="D12" s="28"/>
      <c r="E12" s="14"/>
    </row>
    <row r="13" ht="13">
      <c r="A13" s="12" t="s">
        <v>14</v>
      </c>
      <c r="B13" s="28">
        <v>1631</v>
      </c>
      <c r="C13" s="13"/>
      <c r="D13" s="28"/>
      <c r="E13" s="14">
        <v>45463</v>
      </c>
    </row>
    <row r="14" ht="13">
      <c r="A14" s="12" t="s">
        <v>21</v>
      </c>
      <c r="B14" s="28" t="e">
        <f>#REF!</f>
        <v>#REF!</v>
      </c>
      <c r="C14" s="13"/>
      <c r="D14" s="28"/>
      <c r="E14" s="14">
        <v>45473</v>
      </c>
    </row>
    <row r="15" ht="13">
      <c r="A15" s="12" t="s">
        <v>29</v>
      </c>
      <c r="B15" s="28"/>
      <c r="C15" s="13"/>
      <c r="D15" s="28"/>
      <c r="E15" s="14"/>
    </row>
    <row r="16" ht="13">
      <c r="A16" s="12" t="s">
        <v>30</v>
      </c>
      <c r="B16" s="28">
        <v>10000</v>
      </c>
      <c r="C16" s="13"/>
      <c r="D16" s="28"/>
      <c r="E16" s="14"/>
    </row>
    <row r="17" ht="13">
      <c r="A17" s="12"/>
      <c r="B17" s="28"/>
      <c r="C17" s="13"/>
      <c r="D17" s="28"/>
      <c r="E17" s="14"/>
    </row>
    <row r="18" ht="13">
      <c r="A18" s="12"/>
      <c r="B18" s="28"/>
      <c r="C18" s="13"/>
      <c r="D18" s="28"/>
      <c r="E18" s="14"/>
    </row>
    <row r="19" ht="14.25">
      <c r="A19" s="41" t="s">
        <v>1</v>
      </c>
      <c r="B19" s="42" t="e">
        <f>SUM(B4:B16)</f>
        <v>#REF!</v>
      </c>
      <c r="C19" s="43">
        <f>SUM(C4:C16)</f>
        <v>18.43</v>
      </c>
      <c r="D19" s="42">
        <f>SUM(D4:D16)</f>
        <v>69904.210000000006</v>
      </c>
      <c r="E19" s="3"/>
    </row>
    <row r="20">
      <c r="A20" s="29"/>
      <c r="B20" s="30"/>
      <c r="C20" s="31"/>
      <c r="D20" s="30"/>
      <c r="E20" s="32"/>
    </row>
    <row r="21" ht="12.75" customHeight="1">
      <c r="A21" s="37" t="s">
        <v>26</v>
      </c>
      <c r="B21" s="38"/>
      <c r="C21" s="39">
        <v>0</v>
      </c>
      <c r="D21" s="38"/>
      <c r="E21" s="13">
        <v>40</v>
      </c>
    </row>
    <row r="22">
      <c r="A22" s="17" t="s">
        <v>18</v>
      </c>
      <c r="B22" s="28">
        <v>115000</v>
      </c>
      <c r="C22" s="13"/>
      <c r="D22" s="28"/>
    </row>
    <row r="23">
      <c r="A23" s="17" t="s">
        <v>27</v>
      </c>
      <c r="B23" s="28"/>
      <c r="C23" s="13">
        <v>25.190000000000001</v>
      </c>
      <c r="D23" s="28"/>
      <c r="E23" s="3"/>
    </row>
    <row r="24">
      <c r="A24" s="17" t="s">
        <v>28</v>
      </c>
      <c r="B24" s="28">
        <v>10000</v>
      </c>
      <c r="C24" s="13"/>
      <c r="D24" s="28"/>
      <c r="E24" s="3"/>
    </row>
    <row r="25">
      <c r="A25" s="17" t="s">
        <v>31</v>
      </c>
      <c r="B25" s="28">
        <v>70000</v>
      </c>
      <c r="C25" s="13"/>
      <c r="D25" s="28"/>
      <c r="E25" s="3"/>
    </row>
    <row r="26">
      <c r="B26" s="21"/>
      <c r="C26" s="2"/>
      <c r="D26" s="21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/>
    <row r="40"/>
    <row r="41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</sheetData>
  <mergeCells count="1">
    <mergeCell ref="A1:E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8" zoomScale="100" workbookViewId="0">
      <selection activeCell="B27" activeCellId="0" sqref="B27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  <col bestFit="1" customWidth="1" min="6" max="6" width="9.54296875"/>
  </cols>
  <sheetData>
    <row r="1">
      <c r="A1" s="22" t="s">
        <v>20</v>
      </c>
      <c r="B1" s="24"/>
      <c r="C1" s="24"/>
      <c r="D1" s="24"/>
      <c r="E1" s="25"/>
    </row>
    <row r="2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45483</v>
      </c>
    </row>
    <row r="5" ht="13">
      <c r="A5" s="12" t="s">
        <v>6</v>
      </c>
      <c r="B5" s="28">
        <v>29997.529999999999</v>
      </c>
      <c r="C5" s="13">
        <v>0</v>
      </c>
      <c r="D5" s="28">
        <v>5400</v>
      </c>
      <c r="E5" s="44">
        <v>45488</v>
      </c>
    </row>
    <row r="6" ht="13">
      <c r="A6" s="12" t="s">
        <v>7</v>
      </c>
      <c r="B6" s="28"/>
      <c r="C6" s="13">
        <v>0</v>
      </c>
      <c r="D6" s="28"/>
      <c r="E6" s="44">
        <v>45488</v>
      </c>
    </row>
    <row r="7" ht="13">
      <c r="A7" s="12" t="s">
        <v>8</v>
      </c>
      <c r="B7" s="28">
        <v>34344</v>
      </c>
      <c r="C7" s="13"/>
      <c r="D7" s="28"/>
      <c r="E7" s="44">
        <v>45488</v>
      </c>
    </row>
    <row r="8" ht="13">
      <c r="A8" s="12" t="s">
        <v>9</v>
      </c>
      <c r="B8" s="28"/>
      <c r="C8" s="13">
        <v>18.43</v>
      </c>
      <c r="D8" s="28">
        <v>3.21</v>
      </c>
      <c r="E8" s="44">
        <v>45488</v>
      </c>
    </row>
    <row r="9" ht="13">
      <c r="A9" s="12" t="s">
        <v>10</v>
      </c>
      <c r="B9" s="28">
        <v>1528</v>
      </c>
      <c r="C9" s="13"/>
      <c r="D9" s="28">
        <v>150</v>
      </c>
      <c r="E9" s="44">
        <v>45488</v>
      </c>
    </row>
    <row r="10" ht="13">
      <c r="A10" s="12" t="s">
        <v>11</v>
      </c>
      <c r="B10" s="28">
        <v>2638.3400000000001</v>
      </c>
      <c r="C10" s="13"/>
      <c r="D10" s="28">
        <v>270</v>
      </c>
      <c r="E10" s="44">
        <v>45484</v>
      </c>
    </row>
    <row r="11" ht="13">
      <c r="A11" s="12" t="s">
        <v>12</v>
      </c>
      <c r="B11" s="28">
        <v>600</v>
      </c>
      <c r="C11" s="13"/>
      <c r="D11" s="28"/>
      <c r="E11" s="44">
        <v>45488</v>
      </c>
    </row>
    <row r="12" ht="13">
      <c r="A12" s="12" t="s">
        <v>13</v>
      </c>
      <c r="B12" s="28">
        <v>1572</v>
      </c>
      <c r="C12" s="13"/>
      <c r="D12" s="28"/>
      <c r="E12" s="44">
        <v>45505</v>
      </c>
    </row>
    <row r="13" ht="13">
      <c r="A13" s="12" t="s">
        <v>14</v>
      </c>
      <c r="B13" s="28">
        <v>1675.0899999999999</v>
      </c>
      <c r="C13" s="13"/>
      <c r="D13" s="28"/>
      <c r="E13" s="44">
        <v>45493</v>
      </c>
    </row>
    <row r="14" ht="13">
      <c r="A14" s="12" t="s">
        <v>21</v>
      </c>
      <c r="B14" s="28" t="e">
        <f>#REF!</f>
        <v>#REF!</v>
      </c>
      <c r="C14" s="13"/>
      <c r="D14" s="28"/>
      <c r="E14" s="44">
        <v>45504</v>
      </c>
    </row>
    <row r="15" ht="13">
      <c r="A15" s="12" t="s">
        <v>29</v>
      </c>
      <c r="B15" s="28">
        <v>0</v>
      </c>
      <c r="C15" s="13"/>
      <c r="D15" s="28"/>
      <c r="E15" s="44"/>
    </row>
    <row r="16" ht="13">
      <c r="A16" s="12" t="s">
        <v>30</v>
      </c>
      <c r="B16" s="28">
        <v>15000</v>
      </c>
      <c r="C16" s="13"/>
      <c r="D16" s="28"/>
      <c r="E16" s="44"/>
    </row>
    <row r="17" ht="13">
      <c r="A17" s="12"/>
      <c r="B17" s="28"/>
      <c r="C17" s="13"/>
      <c r="D17" s="28"/>
      <c r="E17" s="44"/>
    </row>
    <row r="18" ht="13">
      <c r="A18" s="12"/>
      <c r="B18" s="28"/>
      <c r="C18" s="13"/>
      <c r="D18" s="28"/>
      <c r="E18" s="44"/>
    </row>
    <row r="19" ht="14.25">
      <c r="A19" s="41" t="s">
        <v>1</v>
      </c>
      <c r="B19" s="42" t="e">
        <f>SUM(B4:B16)</f>
        <v>#REF!</v>
      </c>
      <c r="C19" s="43">
        <f>SUM(C4:C16)</f>
        <v>18.43</v>
      </c>
      <c r="D19" s="42">
        <f>SUM(D4:D16)</f>
        <v>62847.209999999999</v>
      </c>
      <c r="E19" s="3"/>
    </row>
    <row r="20">
      <c r="A20" s="29"/>
      <c r="B20" s="30"/>
      <c r="C20" s="31"/>
      <c r="D20" s="30"/>
      <c r="E20" s="32"/>
    </row>
    <row r="21">
      <c r="A21" s="33" t="s">
        <v>22</v>
      </c>
      <c r="B21" s="34"/>
      <c r="C21" s="34"/>
      <c r="D21" s="40"/>
      <c r="E21" s="36" t="s">
        <v>32</v>
      </c>
    </row>
    <row r="22">
      <c r="A22" s="15"/>
      <c r="B22" s="26"/>
      <c r="C22" s="15"/>
      <c r="D22" s="26"/>
      <c r="E22" s="16"/>
    </row>
    <row r="23" ht="12.75" customHeight="1">
      <c r="A23" s="37" t="s">
        <v>26</v>
      </c>
      <c r="B23" s="38"/>
      <c r="C23" s="39">
        <v>0</v>
      </c>
      <c r="D23" s="38"/>
      <c r="E23" s="13">
        <v>40</v>
      </c>
    </row>
    <row r="24">
      <c r="A24" s="17" t="s">
        <v>18</v>
      </c>
      <c r="B24" s="28">
        <v>111000</v>
      </c>
      <c r="C24" s="13"/>
      <c r="D24" s="28"/>
    </row>
    <row r="25">
      <c r="A25" s="17" t="s">
        <v>27</v>
      </c>
      <c r="B25" s="28"/>
      <c r="C25" s="13">
        <v>25.190000000000001</v>
      </c>
      <c r="D25" s="28"/>
      <c r="E25" s="3"/>
    </row>
    <row r="26">
      <c r="A26" s="17" t="s">
        <v>33</v>
      </c>
      <c r="B26" s="28">
        <v>20000</v>
      </c>
      <c r="C26" s="13"/>
      <c r="D26" s="28"/>
      <c r="E26" s="3"/>
    </row>
    <row r="27">
      <c r="A27" s="17" t="s">
        <v>31</v>
      </c>
      <c r="B27" s="28">
        <v>20000</v>
      </c>
      <c r="C27" s="13"/>
      <c r="D27" s="28"/>
      <c r="E27" s="3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/>
    <row r="40"/>
    <row r="41"/>
    <row r="42"/>
    <row r="43"/>
    <row r="44"/>
    <row r="45"/>
    <row r="46"/>
    <row r="47"/>
    <row r="48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</sheetData>
  <mergeCells count="3">
    <mergeCell ref="A1:E2"/>
    <mergeCell ref="A21:D22"/>
    <mergeCell ref="E21:E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1" zoomScale="100" workbookViewId="0">
      <selection activeCell="R41" activeCellId="0" sqref="R41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>
      <c r="A1" s="22" t="s">
        <v>20</v>
      </c>
      <c r="B1" s="24"/>
      <c r="C1" s="24"/>
      <c r="D1" s="24"/>
      <c r="E1" s="25"/>
    </row>
    <row r="2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45514</v>
      </c>
    </row>
    <row r="5" ht="13">
      <c r="A5" s="12" t="s">
        <v>6</v>
      </c>
      <c r="B5" s="28">
        <v>21252.450000000001</v>
      </c>
      <c r="C5" s="13"/>
      <c r="D5" s="28">
        <v>1900</v>
      </c>
      <c r="E5" s="44">
        <v>45517</v>
      </c>
    </row>
    <row r="6" ht="13">
      <c r="A6" s="12" t="s">
        <v>7</v>
      </c>
      <c r="B6" s="28">
        <v>0</v>
      </c>
      <c r="C6" s="13"/>
      <c r="D6" s="28"/>
      <c r="E6" s="44">
        <v>45517</v>
      </c>
    </row>
    <row r="7" ht="13">
      <c r="A7" s="12" t="s">
        <v>8</v>
      </c>
      <c r="B7" s="28">
        <v>55364</v>
      </c>
      <c r="C7" s="13"/>
      <c r="D7" s="28">
        <v>11038</v>
      </c>
      <c r="E7" s="44">
        <v>45519</v>
      </c>
    </row>
    <row r="8" ht="13">
      <c r="A8" s="12" t="s">
        <v>9</v>
      </c>
      <c r="B8" s="28"/>
      <c r="C8" s="13">
        <v>19</v>
      </c>
      <c r="D8" s="28">
        <v>3.21</v>
      </c>
      <c r="E8" s="44">
        <v>45519</v>
      </c>
    </row>
    <row r="9" ht="13">
      <c r="A9" s="12" t="s">
        <v>10</v>
      </c>
      <c r="B9" s="28">
        <v>1074</v>
      </c>
      <c r="C9" s="13"/>
      <c r="D9" s="28">
        <v>0</v>
      </c>
      <c r="E9" s="44">
        <v>45518</v>
      </c>
    </row>
    <row r="10" ht="13">
      <c r="A10" s="12" t="s">
        <v>11</v>
      </c>
      <c r="B10" s="28">
        <v>7406.6000000000004</v>
      </c>
      <c r="C10" s="13"/>
      <c r="D10" s="28">
        <v>790</v>
      </c>
      <c r="E10" s="44">
        <v>45519</v>
      </c>
    </row>
    <row r="11" ht="13">
      <c r="A11" s="12" t="s">
        <v>12</v>
      </c>
      <c r="B11" s="28">
        <v>600</v>
      </c>
      <c r="C11" s="13"/>
      <c r="D11" s="28"/>
      <c r="E11" s="44">
        <v>45518</v>
      </c>
    </row>
    <row r="12" ht="13">
      <c r="A12" s="12" t="s">
        <v>13</v>
      </c>
      <c r="B12" s="28">
        <v>1790</v>
      </c>
      <c r="C12" s="13"/>
      <c r="D12" s="28"/>
      <c r="E12" s="44">
        <v>45516</v>
      </c>
    </row>
    <row r="13" ht="13">
      <c r="A13" s="12" t="s">
        <v>14</v>
      </c>
      <c r="B13" s="28">
        <v>1703</v>
      </c>
      <c r="C13" s="13"/>
      <c r="D13" s="28"/>
      <c r="E13" s="44">
        <v>45524</v>
      </c>
    </row>
    <row r="14" ht="13">
      <c r="A14" s="12" t="s">
        <v>21</v>
      </c>
      <c r="B14" s="28">
        <v>4000</v>
      </c>
      <c r="C14" s="13"/>
      <c r="D14" s="28"/>
      <c r="E14" s="44">
        <v>45504</v>
      </c>
    </row>
    <row r="15" ht="13">
      <c r="A15" s="12" t="s">
        <v>29</v>
      </c>
      <c r="B15" s="28">
        <v>0</v>
      </c>
      <c r="C15" s="13"/>
      <c r="D15" s="28"/>
      <c r="E15" s="44"/>
    </row>
    <row r="16" ht="13">
      <c r="A16" s="12" t="s">
        <v>30</v>
      </c>
      <c r="B16" s="28">
        <v>15000</v>
      </c>
      <c r="C16" s="13"/>
      <c r="D16" s="28"/>
      <c r="E16" s="44"/>
    </row>
    <row r="17" ht="13">
      <c r="A17" s="12"/>
      <c r="B17" s="28"/>
      <c r="C17" s="13"/>
      <c r="D17" s="28"/>
      <c r="E17" s="44"/>
    </row>
    <row r="18" ht="13">
      <c r="A18" s="12"/>
      <c r="B18" s="28"/>
      <c r="C18" s="13"/>
      <c r="D18" s="28"/>
      <c r="E18" s="44"/>
    </row>
    <row r="19" ht="14.25">
      <c r="A19" s="41" t="s">
        <v>1</v>
      </c>
      <c r="B19" s="42">
        <f>SUM(B4:B16)</f>
        <v>165214.05000000002</v>
      </c>
      <c r="C19" s="43">
        <f>SUM(C4:C16)</f>
        <v>19</v>
      </c>
      <c r="D19" s="42">
        <f>SUM(D4:D16)</f>
        <v>70755.210000000006</v>
      </c>
      <c r="E19" s="3"/>
    </row>
    <row r="20">
      <c r="A20" s="29"/>
      <c r="B20" s="30"/>
      <c r="C20" s="31"/>
      <c r="D20" s="30"/>
      <c r="E20" s="32"/>
    </row>
    <row r="21">
      <c r="A21" s="33" t="s">
        <v>22</v>
      </c>
      <c r="B21" s="34"/>
      <c r="C21" s="34"/>
      <c r="D21" s="40"/>
      <c r="E21" s="36" t="s">
        <v>32</v>
      </c>
    </row>
    <row r="22">
      <c r="A22" s="15"/>
      <c r="B22" s="26"/>
      <c r="C22" s="15"/>
      <c r="D22" s="26"/>
      <c r="E22" s="16"/>
    </row>
    <row r="23" ht="12.75" customHeight="1">
      <c r="A23" s="37" t="s">
        <v>26</v>
      </c>
      <c r="B23" s="38"/>
      <c r="C23" s="39">
        <v>0</v>
      </c>
      <c r="D23" s="38"/>
      <c r="E23" s="13">
        <v>40</v>
      </c>
    </row>
    <row r="24">
      <c r="A24" s="17" t="s">
        <v>18</v>
      </c>
      <c r="B24" s="28">
        <v>111000</v>
      </c>
      <c r="C24" s="13"/>
      <c r="D24" s="28"/>
    </row>
    <row r="25">
      <c r="A25" s="17" t="s">
        <v>27</v>
      </c>
      <c r="B25" s="28"/>
      <c r="C25" s="13">
        <v>25.190000000000001</v>
      </c>
      <c r="D25" s="28"/>
      <c r="E25" s="3"/>
    </row>
    <row r="26">
      <c r="A26" s="17" t="s">
        <v>33</v>
      </c>
      <c r="B26" s="28">
        <v>70000</v>
      </c>
      <c r="C26" s="13"/>
      <c r="D26" s="28"/>
      <c r="E26" s="3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>
      <c r="B39" s="21"/>
      <c r="C39" s="2"/>
      <c r="D39" s="21"/>
    </row>
    <row r="40"/>
    <row r="41"/>
    <row r="42"/>
    <row r="43"/>
    <row r="44"/>
    <row r="45"/>
    <row r="46"/>
    <row r="47"/>
    <row r="48"/>
    <row r="49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</sheetData>
  <mergeCells count="3">
    <mergeCell ref="A1:E2"/>
    <mergeCell ref="A21:D22"/>
    <mergeCell ref="E21:E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R7" activeCellId="0" sqref="R7:S7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45545</v>
      </c>
    </row>
    <row r="5" ht="13">
      <c r="A5" s="12" t="s">
        <v>6</v>
      </c>
      <c r="B5" s="28">
        <v>18793</v>
      </c>
      <c r="C5" s="13"/>
      <c r="D5" s="28">
        <v>1400</v>
      </c>
      <c r="E5" s="44">
        <v>45548</v>
      </c>
    </row>
    <row r="6" ht="13">
      <c r="A6" s="12" t="s">
        <v>7</v>
      </c>
      <c r="B6" s="28">
        <v>0</v>
      </c>
      <c r="C6" s="13"/>
      <c r="D6" s="28"/>
      <c r="E6" s="44">
        <v>45548</v>
      </c>
    </row>
    <row r="7" ht="13">
      <c r="A7" s="12" t="s">
        <v>8</v>
      </c>
      <c r="B7" s="45">
        <v>47342</v>
      </c>
      <c r="C7" s="13"/>
      <c r="D7" s="28">
        <v>11038</v>
      </c>
      <c r="E7" s="44">
        <v>45519</v>
      </c>
    </row>
    <row r="8" ht="13">
      <c r="A8" s="12" t="s">
        <v>9</v>
      </c>
      <c r="B8" s="28"/>
      <c r="C8" s="13">
        <v>19</v>
      </c>
      <c r="D8" s="28">
        <v>3.21</v>
      </c>
      <c r="E8" s="44">
        <v>45519</v>
      </c>
    </row>
    <row r="9" ht="13">
      <c r="A9" s="12" t="s">
        <v>10</v>
      </c>
      <c r="B9" s="45">
        <v>4276</v>
      </c>
      <c r="C9" s="13"/>
      <c r="D9" s="28">
        <v>0</v>
      </c>
      <c r="E9" s="44">
        <v>45518</v>
      </c>
    </row>
    <row r="10" ht="13">
      <c r="A10" s="12" t="s">
        <v>11</v>
      </c>
      <c r="B10" s="28">
        <v>8245</v>
      </c>
      <c r="C10" s="13"/>
      <c r="D10" s="28">
        <v>870</v>
      </c>
      <c r="E10" s="44">
        <v>45547</v>
      </c>
    </row>
    <row r="11" ht="13">
      <c r="A11" s="12" t="s">
        <v>34</v>
      </c>
      <c r="B11" s="28">
        <v>0</v>
      </c>
      <c r="C11" s="13">
        <v>0</v>
      </c>
      <c r="D11" s="28"/>
      <c r="E11" s="44"/>
    </row>
    <row r="12" ht="13">
      <c r="A12" s="12" t="s">
        <v>12</v>
      </c>
      <c r="B12" s="28">
        <v>695</v>
      </c>
      <c r="C12" s="13"/>
      <c r="D12" s="28"/>
      <c r="E12" s="44">
        <v>45518</v>
      </c>
    </row>
    <row r="13" ht="13">
      <c r="A13" s="12" t="s">
        <v>13</v>
      </c>
      <c r="B13" s="28">
        <v>1099</v>
      </c>
      <c r="C13" s="13"/>
      <c r="D13" s="28"/>
      <c r="E13" s="44">
        <v>45566</v>
      </c>
    </row>
    <row r="14" ht="13">
      <c r="A14" s="12" t="s">
        <v>14</v>
      </c>
      <c r="B14" s="28">
        <v>1703</v>
      </c>
      <c r="C14" s="13"/>
      <c r="D14" s="28"/>
      <c r="E14" s="44">
        <v>45555</v>
      </c>
    </row>
    <row r="15" ht="13">
      <c r="A15" s="12" t="s">
        <v>21</v>
      </c>
      <c r="B15" s="45">
        <v>3666</v>
      </c>
      <c r="C15" s="13"/>
      <c r="D15" s="28"/>
      <c r="E15" s="44">
        <v>45565</v>
      </c>
    </row>
    <row r="16" ht="13">
      <c r="A16" s="12" t="s">
        <v>29</v>
      </c>
      <c r="B16" s="28">
        <v>0</v>
      </c>
      <c r="C16" s="13"/>
      <c r="D16" s="28"/>
      <c r="E16" s="44"/>
    </row>
    <row r="17" ht="13">
      <c r="A17" s="12" t="s">
        <v>30</v>
      </c>
      <c r="B17" s="28">
        <v>5000</v>
      </c>
      <c r="C17" s="13"/>
      <c r="D17" s="28"/>
      <c r="E17" s="44"/>
    </row>
    <row r="18" ht="13">
      <c r="A18" s="12"/>
      <c r="B18" s="28"/>
      <c r="C18" s="13"/>
      <c r="D18" s="28"/>
      <c r="E18" s="44"/>
    </row>
    <row r="19" ht="13">
      <c r="A19" s="12"/>
      <c r="B19" s="28"/>
      <c r="C19" s="13"/>
      <c r="D19" s="28"/>
      <c r="E19" s="44"/>
    </row>
    <row r="20" ht="14.25">
      <c r="A20" s="41" t="s">
        <v>1</v>
      </c>
      <c r="B20" s="42">
        <f>SUM(B4:B19)</f>
        <v>147843</v>
      </c>
      <c r="C20" s="43">
        <f>SUM(C4:C17)</f>
        <v>19</v>
      </c>
      <c r="D20" s="42">
        <f>SUM(D4:D17)</f>
        <v>70335.210000000006</v>
      </c>
      <c r="E20" s="3"/>
    </row>
    <row r="21">
      <c r="A21" s="29"/>
      <c r="B21" s="30"/>
      <c r="C21" s="31"/>
      <c r="D21" s="30"/>
      <c r="E21" s="32"/>
    </row>
    <row r="22">
      <c r="A22" s="33" t="s">
        <v>22</v>
      </c>
      <c r="B22" s="34"/>
      <c r="C22" s="34"/>
      <c r="D22" s="40"/>
      <c r="E22" s="36" t="s">
        <v>32</v>
      </c>
    </row>
    <row r="23" ht="12.75" customHeight="1">
      <c r="A23" s="15"/>
      <c r="B23" s="26"/>
      <c r="C23" s="15"/>
      <c r="D23" s="26"/>
      <c r="E23" s="16"/>
    </row>
    <row r="24" ht="16.5">
      <c r="A24" s="37" t="s">
        <v>26</v>
      </c>
      <c r="B24" s="38"/>
      <c r="C24" s="39">
        <v>0</v>
      </c>
      <c r="D24" s="38"/>
      <c r="E24" s="13">
        <v>40</v>
      </c>
    </row>
    <row r="25">
      <c r="A25" s="17" t="s">
        <v>18</v>
      </c>
      <c r="B25" s="28">
        <v>110000</v>
      </c>
      <c r="C25" s="13"/>
      <c r="D25" s="28"/>
    </row>
    <row r="26">
      <c r="A26" s="17" t="s">
        <v>27</v>
      </c>
      <c r="B26" s="28"/>
      <c r="C26" s="13">
        <v>25.190000000000001</v>
      </c>
      <c r="D26" s="28"/>
      <c r="E26" s="3"/>
    </row>
    <row r="27">
      <c r="A27" s="17" t="s">
        <v>33</v>
      </c>
      <c r="B27" s="28">
        <v>40000</v>
      </c>
      <c r="C27" s="13"/>
      <c r="D27" s="28"/>
      <c r="E27" s="3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>
      <c r="B39" s="21"/>
      <c r="C39" s="2"/>
      <c r="D39" s="21"/>
    </row>
    <row r="40">
      <c r="B40" s="21"/>
      <c r="C40" s="2"/>
      <c r="D40" s="21"/>
    </row>
    <row r="41">
      <c r="B41" s="21"/>
      <c r="C41" s="2"/>
      <c r="D41" s="21"/>
    </row>
    <row r="42"/>
    <row r="43"/>
    <row r="44"/>
    <row r="45"/>
    <row r="46"/>
    <row r="47"/>
    <row r="48"/>
    <row r="49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</sheetData>
  <mergeCells count="3">
    <mergeCell ref="A1:E2"/>
    <mergeCell ref="A22:D23"/>
    <mergeCell ref="E22:E2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6" zoomScale="100" workbookViewId="0">
      <selection activeCell="V18" activeCellId="0" sqref="V18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2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45575</v>
      </c>
    </row>
    <row r="5" ht="13">
      <c r="A5" s="12" t="s">
        <v>6</v>
      </c>
      <c r="B5" s="28">
        <v>15151.049999999999</v>
      </c>
      <c r="C5" s="13"/>
      <c r="D5" s="28"/>
      <c r="E5" s="44">
        <v>45578</v>
      </c>
    </row>
    <row r="6" ht="13">
      <c r="A6" s="12" t="s">
        <v>7</v>
      </c>
      <c r="B6" s="28"/>
      <c r="C6" s="13"/>
      <c r="D6" s="28"/>
      <c r="E6" s="44"/>
    </row>
    <row r="7" ht="13">
      <c r="A7" s="12" t="s">
        <v>8</v>
      </c>
      <c r="B7" s="45">
        <v>36960</v>
      </c>
      <c r="C7" s="13"/>
      <c r="D7" s="28"/>
      <c r="E7" s="44">
        <v>45579</v>
      </c>
    </row>
    <row r="8" ht="13">
      <c r="A8" s="12" t="s">
        <v>9</v>
      </c>
      <c r="B8" s="28"/>
      <c r="C8" s="13">
        <v>18</v>
      </c>
      <c r="D8" s="28"/>
      <c r="E8" s="44">
        <v>45579</v>
      </c>
    </row>
    <row r="9" ht="13">
      <c r="A9" s="12" t="s">
        <v>10</v>
      </c>
      <c r="B9" s="45">
        <v>0</v>
      </c>
      <c r="C9" s="13"/>
      <c r="D9" s="28"/>
      <c r="E9" s="44"/>
    </row>
    <row r="10" ht="13">
      <c r="A10" s="12" t="s">
        <v>11</v>
      </c>
      <c r="B10" s="28">
        <v>9804.3400000000001</v>
      </c>
      <c r="C10" s="13"/>
      <c r="D10" s="28">
        <v>870</v>
      </c>
      <c r="E10" s="44">
        <v>45575</v>
      </c>
    </row>
    <row r="11" ht="13">
      <c r="A11" s="12" t="s">
        <v>34</v>
      </c>
      <c r="B11" s="28">
        <v>3349.23</v>
      </c>
      <c r="C11" s="13">
        <v>0</v>
      </c>
      <c r="D11" s="28">
        <v>261</v>
      </c>
      <c r="E11" s="44">
        <v>45579</v>
      </c>
    </row>
    <row r="12" ht="13">
      <c r="A12" s="12" t="s">
        <v>12</v>
      </c>
      <c r="B12" s="28">
        <v>600</v>
      </c>
      <c r="C12" s="13"/>
      <c r="D12" s="28"/>
      <c r="E12" s="44">
        <v>45579</v>
      </c>
    </row>
    <row r="13" ht="13">
      <c r="A13" s="12" t="s">
        <v>13</v>
      </c>
      <c r="B13" s="28">
        <v>1811</v>
      </c>
      <c r="C13" s="13"/>
      <c r="D13" s="28"/>
      <c r="E13" s="44">
        <v>45575</v>
      </c>
    </row>
    <row r="14" ht="13">
      <c r="A14" s="12" t="s">
        <v>14</v>
      </c>
      <c r="B14" s="28">
        <v>1703</v>
      </c>
      <c r="C14" s="13"/>
      <c r="D14" s="28"/>
      <c r="E14" s="44">
        <v>45585</v>
      </c>
    </row>
    <row r="15" ht="13">
      <c r="A15" s="12" t="s">
        <v>21</v>
      </c>
      <c r="B15" s="45">
        <v>4000</v>
      </c>
      <c r="C15" s="13"/>
      <c r="D15" s="28"/>
      <c r="E15" s="44">
        <v>45596</v>
      </c>
    </row>
    <row r="16" ht="13">
      <c r="A16" s="12" t="s">
        <v>35</v>
      </c>
      <c r="B16" s="28">
        <v>7000</v>
      </c>
      <c r="C16" s="13"/>
      <c r="D16" s="28"/>
      <c r="E16" s="44"/>
    </row>
    <row r="17" ht="13">
      <c r="A17" s="12" t="s">
        <v>30</v>
      </c>
      <c r="B17" s="28"/>
      <c r="C17" s="13"/>
      <c r="D17" s="28"/>
      <c r="E17" s="44"/>
    </row>
    <row r="18" ht="13">
      <c r="A18" s="12"/>
      <c r="B18" s="28"/>
      <c r="C18" s="13"/>
      <c r="D18" s="28"/>
      <c r="E18" s="44"/>
    </row>
    <row r="19" ht="13">
      <c r="A19" s="12"/>
      <c r="B19" s="28"/>
      <c r="C19" s="13"/>
      <c r="D19" s="28"/>
      <c r="E19" s="44"/>
    </row>
    <row r="20" ht="14.25">
      <c r="A20" s="41" t="s">
        <v>1</v>
      </c>
      <c r="B20" s="42">
        <f>SUM(B4:B19)</f>
        <v>137402.62</v>
      </c>
      <c r="C20" s="43">
        <f>SUM(C4:C17)</f>
        <v>18</v>
      </c>
      <c r="D20" s="42">
        <f>SUM(D4:D17)</f>
        <v>58155</v>
      </c>
      <c r="E20" s="3"/>
    </row>
    <row r="21">
      <c r="A21" s="29"/>
      <c r="B21" s="30"/>
      <c r="C21" s="31"/>
      <c r="D21" s="30"/>
      <c r="E21" s="32"/>
    </row>
    <row r="22">
      <c r="A22" s="33" t="s">
        <v>22</v>
      </c>
      <c r="B22" s="34"/>
      <c r="C22" s="34"/>
      <c r="D22" s="40"/>
      <c r="E22" s="36" t="s">
        <v>32</v>
      </c>
    </row>
    <row r="23" ht="12.75" customHeight="1">
      <c r="A23" s="15"/>
      <c r="B23" s="26"/>
      <c r="C23" s="15"/>
      <c r="D23" s="26"/>
      <c r="E23" s="16"/>
    </row>
    <row r="24" ht="12.75" customHeight="1">
      <c r="A24" s="37" t="s">
        <v>26</v>
      </c>
      <c r="B24" s="38"/>
      <c r="C24" s="39">
        <v>0</v>
      </c>
      <c r="D24" s="38"/>
      <c r="E24" s="13">
        <v>42</v>
      </c>
    </row>
    <row r="25">
      <c r="A25" s="17" t="s">
        <v>18</v>
      </c>
      <c r="B25" s="28">
        <v>120000</v>
      </c>
      <c r="C25" s="13"/>
      <c r="D25" s="28"/>
    </row>
    <row r="26">
      <c r="A26" s="17" t="s">
        <v>27</v>
      </c>
      <c r="B26" s="28"/>
      <c r="C26" s="13">
        <v>25.190000000000001</v>
      </c>
      <c r="D26" s="28"/>
      <c r="E26" s="3"/>
    </row>
    <row r="27">
      <c r="A27" s="17" t="s">
        <v>28</v>
      </c>
      <c r="B27" s="28">
        <v>9000</v>
      </c>
      <c r="C27" s="13"/>
      <c r="D27" s="28"/>
      <c r="E27" s="3"/>
    </row>
    <row r="28">
      <c r="A28" s="17" t="s">
        <v>33</v>
      </c>
      <c r="B28" s="28">
        <v>10000</v>
      </c>
      <c r="C28" s="13"/>
      <c r="D28" s="28"/>
      <c r="E28" s="3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/>
    <row r="38"/>
    <row r="39"/>
    <row r="40"/>
    <row r="41"/>
    <row r="42"/>
    <row r="43"/>
    <row r="44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</sheetData>
  <mergeCells count="3">
    <mergeCell ref="A1:E2"/>
    <mergeCell ref="A22:D23"/>
    <mergeCell ref="E22:E2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9" zoomScale="100" workbookViewId="0">
      <selection activeCell="T29" activeCellId="0" sqref="T29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2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45606</v>
      </c>
    </row>
    <row r="5" ht="13">
      <c r="A5" s="12" t="s">
        <v>6</v>
      </c>
      <c r="B5" s="28">
        <v>13833.01</v>
      </c>
      <c r="C5" s="13"/>
      <c r="D5" s="28">
        <v>600</v>
      </c>
      <c r="E5" s="44">
        <v>45609</v>
      </c>
    </row>
    <row r="6" ht="13">
      <c r="A6" s="12" t="s">
        <v>8</v>
      </c>
      <c r="B6" s="45">
        <v>38841</v>
      </c>
      <c r="C6" s="13">
        <v>18.43</v>
      </c>
      <c r="D6" s="28"/>
      <c r="E6" s="44">
        <v>45610</v>
      </c>
    </row>
    <row r="7" ht="13">
      <c r="A7" s="12" t="s">
        <v>10</v>
      </c>
      <c r="B7" s="45">
        <v>9345</v>
      </c>
      <c r="C7" s="13"/>
      <c r="D7" s="28">
        <v>1950</v>
      </c>
      <c r="E7" s="44">
        <v>45609</v>
      </c>
    </row>
    <row r="8" ht="13">
      <c r="A8" s="12" t="s">
        <v>11</v>
      </c>
      <c r="B8" s="28">
        <v>1953.8399999999999</v>
      </c>
      <c r="C8" s="13"/>
      <c r="D8" s="28">
        <v>210</v>
      </c>
      <c r="E8" s="44">
        <v>45610</v>
      </c>
    </row>
    <row r="9" ht="13">
      <c r="A9" s="12" t="s">
        <v>34</v>
      </c>
      <c r="B9" s="28">
        <v>6589.7700000000004</v>
      </c>
      <c r="C9" s="13">
        <v>0</v>
      </c>
      <c r="D9" s="28">
        <v>435</v>
      </c>
      <c r="E9" s="44">
        <v>45609</v>
      </c>
    </row>
    <row r="10" ht="13">
      <c r="A10" s="12" t="s">
        <v>12</v>
      </c>
      <c r="B10" s="28">
        <v>632</v>
      </c>
      <c r="C10" s="13"/>
      <c r="D10" s="28"/>
      <c r="E10" s="44">
        <v>45614</v>
      </c>
    </row>
    <row r="11" ht="13">
      <c r="A11" s="12" t="s">
        <v>13</v>
      </c>
      <c r="B11" s="28">
        <v>981</v>
      </c>
      <c r="C11" s="13"/>
      <c r="D11" s="28"/>
      <c r="E11" s="44">
        <v>45628</v>
      </c>
    </row>
    <row r="12" ht="13">
      <c r="A12" s="12" t="s">
        <v>14</v>
      </c>
      <c r="B12" s="28">
        <v>1703</v>
      </c>
      <c r="C12" s="13"/>
      <c r="D12" s="28"/>
      <c r="E12" s="44">
        <v>45616</v>
      </c>
    </row>
    <row r="13" ht="13">
      <c r="A13" s="12" t="s">
        <v>21</v>
      </c>
      <c r="B13" s="45">
        <v>3000</v>
      </c>
      <c r="C13" s="13"/>
      <c r="D13" s="28"/>
      <c r="E13" s="44">
        <v>45626</v>
      </c>
    </row>
    <row r="14" ht="13">
      <c r="A14" s="12" t="s">
        <v>36</v>
      </c>
      <c r="B14" s="28">
        <v>18000</v>
      </c>
      <c r="C14" s="13"/>
      <c r="D14" s="28"/>
      <c r="E14" s="44"/>
    </row>
    <row r="15" ht="13">
      <c r="A15" s="12" t="s">
        <v>30</v>
      </c>
      <c r="B15" s="28">
        <v>10000</v>
      </c>
      <c r="C15" s="13"/>
      <c r="D15" s="28"/>
      <c r="E15" s="44"/>
    </row>
    <row r="16" ht="13">
      <c r="A16" s="12"/>
      <c r="B16" s="28"/>
      <c r="C16" s="13"/>
      <c r="D16" s="28"/>
      <c r="E16" s="44"/>
    </row>
    <row r="17" ht="13">
      <c r="A17" s="12"/>
      <c r="B17" s="28"/>
      <c r="C17" s="13"/>
      <c r="D17" s="28"/>
      <c r="E17" s="44"/>
    </row>
    <row r="18" ht="14.25">
      <c r="A18" s="41" t="s">
        <v>1</v>
      </c>
      <c r="B18" s="42">
        <f>SUM(B4:B17)</f>
        <v>161902.62</v>
      </c>
      <c r="C18" s="43">
        <f>SUM(C4:C15)</f>
        <v>18.43</v>
      </c>
      <c r="D18" s="42">
        <f>SUM(D4:D15)</f>
        <v>60219</v>
      </c>
      <c r="E18" s="3"/>
    </row>
    <row r="19">
      <c r="A19" s="29"/>
      <c r="B19" s="30"/>
      <c r="C19" s="31"/>
      <c r="D19" s="30"/>
      <c r="E19" s="32"/>
    </row>
    <row r="20" ht="12.75" customHeight="1">
      <c r="A20" s="33" t="s">
        <v>22</v>
      </c>
      <c r="B20" s="34"/>
      <c r="C20" s="34"/>
      <c r="D20" s="40"/>
      <c r="E20" s="36" t="s">
        <v>32</v>
      </c>
    </row>
    <row r="21">
      <c r="A21" s="15"/>
      <c r="B21" s="26"/>
      <c r="C21" s="15"/>
      <c r="D21" s="26"/>
      <c r="E21" s="16"/>
    </row>
    <row r="22" ht="16.5">
      <c r="A22" s="37" t="s">
        <v>26</v>
      </c>
      <c r="B22" s="38"/>
      <c r="C22" s="39">
        <v>0</v>
      </c>
      <c r="D22" s="38"/>
      <c r="E22" s="13">
        <v>42</v>
      </c>
    </row>
    <row r="23" ht="12.75" customHeight="1">
      <c r="A23" s="17" t="s">
        <v>18</v>
      </c>
      <c r="B23" s="28">
        <v>112000</v>
      </c>
      <c r="C23" s="13"/>
      <c r="D23" s="28"/>
    </row>
    <row r="24" ht="12.75" customHeight="1">
      <c r="A24" s="17" t="s">
        <v>27</v>
      </c>
      <c r="B24" s="28"/>
      <c r="C24" s="13">
        <v>25.190000000000001</v>
      </c>
      <c r="D24" s="28"/>
      <c r="E24" s="3"/>
    </row>
    <row r="25">
      <c r="A25" s="17" t="s">
        <v>28</v>
      </c>
      <c r="B25" s="28">
        <v>10000</v>
      </c>
      <c r="C25" s="13"/>
      <c r="D25" s="28"/>
      <c r="E25" s="3"/>
    </row>
    <row r="26">
      <c r="A26" s="17" t="s">
        <v>33</v>
      </c>
      <c r="B26" s="28">
        <v>50000</v>
      </c>
      <c r="C26" s="13"/>
      <c r="D26" s="28"/>
      <c r="E26" s="3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/>
    <row r="37"/>
    <row r="38"/>
    <row r="39"/>
    <row r="40"/>
    <row r="41"/>
    <row r="42"/>
    <row r="43"/>
    <row r="44"/>
    <row r="45"/>
    <row r="46"/>
    <row r="47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</sheetData>
  <mergeCells count="3">
    <mergeCell ref="A1:E2"/>
    <mergeCell ref="A20:D21"/>
    <mergeCell ref="E20:E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8" zoomScale="100" workbookViewId="0">
      <selection activeCell="Q40" activeCellId="0" sqref="Q40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>
      <c r="A1" s="22" t="s">
        <v>20</v>
      </c>
      <c r="B1" s="24"/>
      <c r="C1" s="24"/>
      <c r="D1" s="24"/>
      <c r="E1" s="25"/>
    </row>
    <row r="2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45514</v>
      </c>
    </row>
    <row r="5" ht="13">
      <c r="A5" s="12" t="s">
        <v>6</v>
      </c>
      <c r="B5" s="28">
        <v>19309</v>
      </c>
      <c r="C5" s="13"/>
      <c r="D5" s="28">
        <v>1900</v>
      </c>
      <c r="E5" s="44">
        <v>45517</v>
      </c>
    </row>
    <row r="6" ht="13">
      <c r="A6" s="12" t="s">
        <v>7</v>
      </c>
      <c r="B6" s="28">
        <v>0</v>
      </c>
      <c r="C6" s="13"/>
      <c r="D6" s="28"/>
      <c r="E6" s="44">
        <v>45517</v>
      </c>
    </row>
    <row r="7" ht="13">
      <c r="A7" s="12" t="s">
        <v>8</v>
      </c>
      <c r="B7" s="28">
        <v>46000</v>
      </c>
      <c r="C7" s="13"/>
      <c r="D7" s="28">
        <v>11038</v>
      </c>
      <c r="E7" s="44">
        <v>45519</v>
      </c>
    </row>
    <row r="8" ht="13">
      <c r="A8" s="12" t="s">
        <v>9</v>
      </c>
      <c r="B8" s="28"/>
      <c r="C8" s="13">
        <v>19</v>
      </c>
      <c r="D8" s="28">
        <v>3.21</v>
      </c>
      <c r="E8" s="44">
        <v>45519</v>
      </c>
    </row>
    <row r="9" ht="13">
      <c r="A9" s="12" t="s">
        <v>10</v>
      </c>
      <c r="B9" s="28">
        <v>427</v>
      </c>
      <c r="C9" s="13"/>
      <c r="D9" s="28">
        <v>0</v>
      </c>
      <c r="E9" s="44">
        <v>45518</v>
      </c>
    </row>
    <row r="10" ht="13">
      <c r="A10" s="12" t="s">
        <v>11</v>
      </c>
      <c r="B10" s="28">
        <v>8900</v>
      </c>
      <c r="C10" s="13"/>
      <c r="D10" s="28">
        <v>790</v>
      </c>
      <c r="E10" s="44">
        <v>45519</v>
      </c>
    </row>
    <row r="11" ht="13">
      <c r="A11" s="12" t="s">
        <v>12</v>
      </c>
      <c r="B11" s="28">
        <v>600</v>
      </c>
      <c r="C11" s="13"/>
      <c r="D11" s="28"/>
      <c r="E11" s="44">
        <v>45518</v>
      </c>
    </row>
    <row r="12" ht="13">
      <c r="A12" s="12" t="s">
        <v>13</v>
      </c>
      <c r="B12" s="28">
        <v>1790</v>
      </c>
      <c r="C12" s="13"/>
      <c r="D12" s="28"/>
      <c r="E12" s="44">
        <v>45516</v>
      </c>
    </row>
    <row r="13" ht="13">
      <c r="A13" s="12" t="s">
        <v>14</v>
      </c>
      <c r="B13" s="28">
        <v>1703</v>
      </c>
      <c r="C13" s="13"/>
      <c r="D13" s="28"/>
      <c r="E13" s="44">
        <v>45524</v>
      </c>
    </row>
    <row r="14" ht="13">
      <c r="A14" s="12" t="s">
        <v>21</v>
      </c>
      <c r="B14" s="28">
        <v>4000</v>
      </c>
      <c r="C14" s="13"/>
      <c r="D14" s="28"/>
      <c r="E14" s="44">
        <v>45504</v>
      </c>
    </row>
    <row r="15" ht="13">
      <c r="A15" s="12" t="s">
        <v>29</v>
      </c>
      <c r="B15" s="28">
        <v>0</v>
      </c>
      <c r="C15" s="13"/>
      <c r="D15" s="28"/>
      <c r="E15" s="44"/>
    </row>
    <row r="16" ht="13">
      <c r="A16" s="12" t="s">
        <v>30</v>
      </c>
      <c r="B16" s="28">
        <v>15000</v>
      </c>
      <c r="C16" s="13"/>
      <c r="D16" s="28"/>
      <c r="E16" s="44"/>
    </row>
    <row r="17" ht="13">
      <c r="A17" s="12"/>
      <c r="B17" s="28"/>
      <c r="C17" s="13"/>
      <c r="D17" s="28"/>
      <c r="E17" s="44"/>
    </row>
    <row r="18" ht="13">
      <c r="A18" s="12"/>
      <c r="B18" s="28"/>
      <c r="C18" s="13"/>
      <c r="D18" s="28"/>
      <c r="E18" s="44"/>
    </row>
    <row r="19" ht="14.25">
      <c r="A19" s="41" t="s">
        <v>1</v>
      </c>
      <c r="B19" s="42">
        <f>SUM(B4:B16)</f>
        <v>154753</v>
      </c>
      <c r="C19" s="43">
        <f>SUM(C4:C16)</f>
        <v>19</v>
      </c>
      <c r="D19" s="42">
        <f>SUM(D4:D16)</f>
        <v>70755.210000000006</v>
      </c>
      <c r="E19" s="3"/>
    </row>
    <row r="20">
      <c r="A20" s="29"/>
      <c r="B20" s="30"/>
      <c r="C20" s="31"/>
      <c r="D20" s="30"/>
      <c r="E20" s="32"/>
    </row>
    <row r="21">
      <c r="A21" s="33" t="s">
        <v>22</v>
      </c>
      <c r="B21" s="34"/>
      <c r="C21" s="34"/>
      <c r="D21" s="40"/>
      <c r="E21" s="36" t="s">
        <v>32</v>
      </c>
    </row>
    <row r="22">
      <c r="A22" s="15"/>
      <c r="B22" s="26"/>
      <c r="C22" s="15"/>
      <c r="D22" s="26"/>
      <c r="E22" s="16"/>
    </row>
    <row r="23" ht="12.75" customHeight="1">
      <c r="A23" s="37" t="s">
        <v>26</v>
      </c>
      <c r="B23" s="38"/>
      <c r="C23" s="39">
        <v>0</v>
      </c>
      <c r="D23" s="38"/>
      <c r="E23" s="13">
        <v>40</v>
      </c>
    </row>
    <row r="24">
      <c r="A24" s="17" t="s">
        <v>18</v>
      </c>
      <c r="B24" s="28">
        <v>110000</v>
      </c>
      <c r="C24" s="13"/>
      <c r="D24" s="28"/>
    </row>
    <row r="25">
      <c r="A25" s="17" t="s">
        <v>27</v>
      </c>
      <c r="B25" s="28"/>
      <c r="C25" s="13">
        <v>25.190000000000001</v>
      </c>
      <c r="D25" s="28"/>
      <c r="E25" s="3"/>
    </row>
    <row r="26">
      <c r="A26" s="17" t="s">
        <v>33</v>
      </c>
      <c r="B26" s="28">
        <v>60000</v>
      </c>
      <c r="C26" s="13"/>
      <c r="D26" s="28"/>
      <c r="E26" s="3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/>
    <row r="40"/>
    <row r="41"/>
    <row r="42"/>
    <row r="43"/>
    <row r="44"/>
    <row r="45"/>
    <row r="46"/>
    <row r="47"/>
    <row r="48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</sheetData>
  <mergeCells count="3">
    <mergeCell ref="A1:E2"/>
    <mergeCell ref="A21:D22"/>
    <mergeCell ref="E21:E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" zoomScale="100" workbookViewId="0">
      <selection activeCell="B4" activeCellId="0" sqref="B4:C17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45667</v>
      </c>
    </row>
    <row r="5" ht="13">
      <c r="A5" s="12" t="s">
        <v>6</v>
      </c>
      <c r="B5" s="28">
        <v>33919</v>
      </c>
      <c r="C5" s="13"/>
      <c r="D5" s="28"/>
      <c r="E5" s="44">
        <v>45670</v>
      </c>
    </row>
    <row r="6" ht="13">
      <c r="A6" s="12" t="s">
        <v>7</v>
      </c>
      <c r="B6" s="28"/>
      <c r="C6" s="13">
        <v>0</v>
      </c>
      <c r="D6" s="28"/>
      <c r="E6" s="44">
        <v>45670</v>
      </c>
    </row>
    <row r="7" ht="13">
      <c r="A7" s="12" t="s">
        <v>8</v>
      </c>
      <c r="B7" s="28">
        <v>30207</v>
      </c>
      <c r="C7" s="13"/>
      <c r="D7" s="28"/>
      <c r="E7" s="44">
        <v>45670</v>
      </c>
    </row>
    <row r="8" ht="13">
      <c r="A8" s="12" t="s">
        <v>9</v>
      </c>
      <c r="B8" s="28"/>
      <c r="C8" s="13">
        <v>18.43</v>
      </c>
      <c r="D8" s="28"/>
      <c r="E8" s="44">
        <v>45670</v>
      </c>
    </row>
    <row r="9" ht="13">
      <c r="A9" s="12" t="s">
        <v>10</v>
      </c>
      <c r="B9" s="28">
        <v>0</v>
      </c>
      <c r="C9" s="13"/>
      <c r="D9" s="28"/>
      <c r="E9" s="44">
        <v>45670</v>
      </c>
    </row>
    <row r="10" ht="13">
      <c r="A10" s="12" t="s">
        <v>11</v>
      </c>
      <c r="B10" s="28">
        <v>8817.1900000000005</v>
      </c>
      <c r="C10" s="13"/>
      <c r="D10" s="28"/>
      <c r="E10" s="44">
        <v>45670</v>
      </c>
    </row>
    <row r="11" ht="13">
      <c r="A11" s="46" t="s">
        <v>37</v>
      </c>
      <c r="B11" s="47">
        <v>16748.27</v>
      </c>
      <c r="C11" s="13"/>
      <c r="D11" s="28"/>
      <c r="E11" s="44">
        <v>45673</v>
      </c>
    </row>
    <row r="12" ht="13">
      <c r="A12" s="12" t="s">
        <v>12</v>
      </c>
      <c r="B12" s="28">
        <v>762</v>
      </c>
      <c r="C12" s="13"/>
      <c r="D12" s="28"/>
      <c r="E12" s="44">
        <v>45677</v>
      </c>
    </row>
    <row r="13" ht="13">
      <c r="A13" s="12" t="s">
        <v>13</v>
      </c>
      <c r="B13" s="28">
        <v>1198</v>
      </c>
      <c r="C13" s="13"/>
      <c r="D13" s="28"/>
      <c r="E13" s="44">
        <v>45689</v>
      </c>
    </row>
    <row r="14" ht="13">
      <c r="A14" s="12" t="s">
        <v>14</v>
      </c>
      <c r="B14" s="28">
        <v>1793</v>
      </c>
      <c r="C14" s="13"/>
      <c r="D14" s="28"/>
      <c r="E14" s="44">
        <v>45677</v>
      </c>
    </row>
    <row r="15" ht="13">
      <c r="A15" s="12" t="s">
        <v>21</v>
      </c>
      <c r="B15" s="28" t="e">
        <f>#REF!</f>
        <v>#REF!</v>
      </c>
      <c r="C15" s="13"/>
      <c r="D15" s="28"/>
      <c r="E15" s="44">
        <v>45688</v>
      </c>
    </row>
    <row r="16" ht="13">
      <c r="A16" s="12" t="s">
        <v>29</v>
      </c>
      <c r="B16" s="28"/>
      <c r="C16" s="13"/>
      <c r="D16" s="28"/>
      <c r="E16" s="44"/>
    </row>
    <row r="17" ht="13">
      <c r="A17" s="12" t="s">
        <v>30</v>
      </c>
      <c r="B17" s="28"/>
      <c r="C17" s="13"/>
      <c r="D17" s="28"/>
      <c r="E17" s="44"/>
    </row>
    <row r="18" ht="13">
      <c r="A18" s="12"/>
      <c r="B18" s="28"/>
      <c r="C18" s="13"/>
      <c r="D18" s="28"/>
      <c r="E18" s="44"/>
    </row>
    <row r="19" ht="14.25">
      <c r="A19" s="41" t="s">
        <v>1</v>
      </c>
      <c r="B19" s="42" t="e">
        <f>SUM(B4:B17)</f>
        <v>#REF!</v>
      </c>
      <c r="C19" s="43">
        <f>SUM(C4:C16)</f>
        <v>18.43</v>
      </c>
      <c r="D19" s="42">
        <f>SUM(D4:D16)</f>
        <v>57024</v>
      </c>
      <c r="E19" s="3"/>
    </row>
    <row r="20">
      <c r="A20" s="29"/>
      <c r="B20" s="30"/>
      <c r="C20" s="31"/>
      <c r="D20" s="30"/>
      <c r="E20" s="32"/>
    </row>
    <row r="21">
      <c r="A21" s="33" t="s">
        <v>22</v>
      </c>
      <c r="B21" s="34"/>
      <c r="C21" s="34"/>
      <c r="D21" s="40"/>
      <c r="E21" s="36" t="s">
        <v>32</v>
      </c>
    </row>
    <row r="22">
      <c r="A22" s="15"/>
      <c r="B22" s="26"/>
      <c r="C22" s="15"/>
      <c r="D22" s="26"/>
      <c r="E22" s="16"/>
    </row>
    <row r="23" ht="12.75" customHeight="1">
      <c r="A23" s="37" t="s">
        <v>26</v>
      </c>
      <c r="B23" s="38"/>
      <c r="C23" s="39">
        <v>0</v>
      </c>
      <c r="D23" s="38"/>
      <c r="E23" s="13">
        <v>40</v>
      </c>
    </row>
    <row r="24">
      <c r="A24" s="17" t="s">
        <v>18</v>
      </c>
      <c r="B24" s="28">
        <v>104922</v>
      </c>
      <c r="C24" s="13"/>
      <c r="D24" s="28"/>
    </row>
    <row r="25">
      <c r="A25" s="17" t="s">
        <v>27</v>
      </c>
      <c r="B25" s="28"/>
      <c r="C25" s="13">
        <v>25.190000000000001</v>
      </c>
      <c r="D25" s="28"/>
      <c r="E25" s="3"/>
    </row>
    <row r="26">
      <c r="A26" s="17" t="s">
        <v>33</v>
      </c>
      <c r="B26" s="28">
        <v>60000</v>
      </c>
      <c r="C26" s="13"/>
      <c r="D26" s="28"/>
      <c r="E26" s="3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/>
    <row r="40"/>
    <row r="41"/>
    <row r="42"/>
    <row r="43"/>
    <row r="44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21:D22"/>
    <mergeCell ref="E21:E2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H40" activeCellId="0" sqref="H40:I53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45698</v>
      </c>
    </row>
    <row r="5" ht="13">
      <c r="A5" s="12" t="s">
        <v>6</v>
      </c>
      <c r="B5" s="28">
        <v>19614.810000000001</v>
      </c>
      <c r="C5" s="13"/>
      <c r="D5" s="28"/>
      <c r="E5" s="44">
        <v>45701</v>
      </c>
    </row>
    <row r="6" ht="13">
      <c r="A6" s="12" t="s">
        <v>7</v>
      </c>
      <c r="B6" s="28"/>
      <c r="C6" s="13">
        <v>0</v>
      </c>
      <c r="D6" s="28"/>
      <c r="E6" s="44">
        <v>45701</v>
      </c>
    </row>
    <row r="7" ht="13">
      <c r="A7" s="12" t="s">
        <v>8</v>
      </c>
      <c r="B7" s="28">
        <v>32202</v>
      </c>
      <c r="C7" s="13"/>
      <c r="D7" s="28"/>
      <c r="E7" s="44">
        <v>45701</v>
      </c>
    </row>
    <row r="8" ht="13">
      <c r="A8" s="12" t="s">
        <v>9</v>
      </c>
      <c r="B8" s="28"/>
      <c r="C8" s="13">
        <v>18.43</v>
      </c>
      <c r="D8" s="28"/>
      <c r="E8" s="44">
        <v>45701</v>
      </c>
    </row>
    <row r="9" ht="13">
      <c r="A9" s="12" t="s">
        <v>10</v>
      </c>
      <c r="B9" s="28">
        <v>2668</v>
      </c>
      <c r="C9" s="13"/>
      <c r="D9" s="28"/>
      <c r="E9" s="44">
        <v>45700</v>
      </c>
    </row>
    <row r="10" ht="13">
      <c r="A10" s="12" t="s">
        <v>11</v>
      </c>
      <c r="B10" s="28">
        <v>3528.4499999999998</v>
      </c>
      <c r="C10" s="13"/>
      <c r="D10" s="28"/>
      <c r="E10" s="44">
        <v>45701</v>
      </c>
    </row>
    <row r="11" ht="13">
      <c r="A11" s="46" t="s">
        <v>37</v>
      </c>
      <c r="B11" s="47">
        <v>13452.18</v>
      </c>
      <c r="C11" s="13"/>
      <c r="D11" s="28"/>
      <c r="E11" s="44">
        <v>45701</v>
      </c>
    </row>
    <row r="12" ht="13">
      <c r="A12" s="12" t="s">
        <v>12</v>
      </c>
      <c r="B12" s="28">
        <v>2225</v>
      </c>
      <c r="C12" s="13"/>
      <c r="D12" s="28"/>
      <c r="E12" s="44">
        <v>45705</v>
      </c>
    </row>
    <row r="13" ht="13">
      <c r="A13" s="12" t="s">
        <v>13</v>
      </c>
      <c r="B13" s="28">
        <v>3938</v>
      </c>
      <c r="C13" s="13"/>
      <c r="D13" s="28"/>
      <c r="E13" s="44">
        <v>45699</v>
      </c>
    </row>
    <row r="14" ht="13">
      <c r="A14" s="12" t="s">
        <v>14</v>
      </c>
      <c r="B14" s="28">
        <v>1793</v>
      </c>
      <c r="C14" s="13"/>
      <c r="D14" s="28"/>
      <c r="E14" s="44">
        <v>45708</v>
      </c>
    </row>
    <row r="15" ht="13">
      <c r="A15" s="12" t="s">
        <v>21</v>
      </c>
      <c r="B15" s="28">
        <v>3400</v>
      </c>
      <c r="C15" s="13"/>
      <c r="D15" s="28"/>
      <c r="E15" s="44">
        <v>45716</v>
      </c>
    </row>
    <row r="16" ht="13">
      <c r="A16" s="12" t="s">
        <v>29</v>
      </c>
      <c r="B16" s="28"/>
      <c r="C16" s="13"/>
      <c r="D16" s="28"/>
      <c r="E16" s="44"/>
    </row>
    <row r="17" ht="13">
      <c r="A17" s="12" t="s">
        <v>30</v>
      </c>
      <c r="B17" s="28"/>
      <c r="C17" s="13"/>
      <c r="D17" s="28"/>
      <c r="E17" s="44"/>
    </row>
    <row r="18">
      <c r="A18" s="29"/>
      <c r="B18" s="30"/>
      <c r="C18" s="31"/>
      <c r="D18" s="30"/>
      <c r="E18" s="32"/>
    </row>
    <row r="19">
      <c r="A19" s="33" t="s">
        <v>22</v>
      </c>
      <c r="B19" s="34"/>
      <c r="C19" s="34"/>
      <c r="D19" s="40"/>
      <c r="E19" s="36" t="s">
        <v>32</v>
      </c>
    </row>
    <row r="20">
      <c r="A20" s="15"/>
      <c r="B20" s="26"/>
      <c r="C20" s="15"/>
      <c r="D20" s="26"/>
      <c r="E20" s="16"/>
    </row>
    <row r="21" ht="12.75" customHeight="1">
      <c r="A21" s="37" t="s">
        <v>26</v>
      </c>
      <c r="B21" s="38"/>
      <c r="C21" s="39">
        <v>0</v>
      </c>
      <c r="D21" s="38"/>
      <c r="E21" s="13">
        <v>40</v>
      </c>
    </row>
    <row r="22">
      <c r="A22" s="17" t="s">
        <v>18</v>
      </c>
      <c r="B22" s="28">
        <v>112000</v>
      </c>
      <c r="C22" s="13"/>
      <c r="D22" s="28"/>
    </row>
    <row r="23">
      <c r="A23" s="17" t="s">
        <v>27</v>
      </c>
      <c r="B23" s="28"/>
      <c r="C23" s="13">
        <v>25.190000000000001</v>
      </c>
      <c r="D23" s="28"/>
      <c r="E23" s="3"/>
    </row>
    <row r="24">
      <c r="A24" s="17" t="s">
        <v>28</v>
      </c>
      <c r="B24" s="28">
        <v>18000</v>
      </c>
      <c r="C24" s="13"/>
      <c r="D24" s="28"/>
      <c r="E24" s="3"/>
    </row>
    <row r="25">
      <c r="A25" s="17" t="s">
        <v>33</v>
      </c>
      <c r="B25" s="28">
        <v>20000</v>
      </c>
      <c r="C25" s="13"/>
      <c r="D25" s="28"/>
      <c r="E25" s="3"/>
    </row>
    <row r="26">
      <c r="B26" s="21"/>
      <c r="C26" s="2"/>
      <c r="D26" s="21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/>
    <row r="38"/>
    <row r="39"/>
    <row r="40"/>
    <row r="41"/>
    <row r="42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19:D20"/>
    <mergeCell ref="E19:E2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9" activeCellId="0" sqref="1:1048576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28">
        <v>57024</v>
      </c>
      <c r="C4" s="13"/>
      <c r="D4" s="28">
        <v>57024</v>
      </c>
      <c r="E4" s="44">
        <v>45726</v>
      </c>
    </row>
    <row r="5" ht="13">
      <c r="A5" s="12" t="s">
        <v>6</v>
      </c>
      <c r="B5" s="28">
        <v>21813.650000000001</v>
      </c>
      <c r="C5" s="13"/>
      <c r="D5" s="28"/>
      <c r="E5" s="48">
        <v>45729</v>
      </c>
    </row>
    <row r="6" ht="13">
      <c r="A6" s="12" t="s">
        <v>7</v>
      </c>
      <c r="B6" s="28">
        <v>0</v>
      </c>
      <c r="C6" s="13"/>
      <c r="D6" s="28"/>
      <c r="E6" s="48">
        <v>45701</v>
      </c>
    </row>
    <row r="7" ht="13">
      <c r="A7" s="12" t="s">
        <v>8</v>
      </c>
      <c r="B7" s="28">
        <v>32257</v>
      </c>
      <c r="C7" s="13"/>
      <c r="D7" s="28"/>
      <c r="E7" s="48">
        <v>45733</v>
      </c>
    </row>
    <row r="8" ht="13">
      <c r="A8" s="12" t="s">
        <v>9</v>
      </c>
      <c r="B8" s="28"/>
      <c r="C8" s="13">
        <v>19</v>
      </c>
      <c r="D8" s="28"/>
      <c r="E8" s="48">
        <v>45733</v>
      </c>
    </row>
    <row r="9" ht="13">
      <c r="A9" s="12" t="s">
        <v>10</v>
      </c>
      <c r="B9" s="28">
        <v>6011</v>
      </c>
      <c r="C9" s="13"/>
      <c r="D9" s="28"/>
      <c r="E9" s="48">
        <v>45730</v>
      </c>
    </row>
    <row r="10" ht="13">
      <c r="A10" s="12" t="s">
        <v>11</v>
      </c>
      <c r="B10" s="28">
        <v>4737.3199999999997</v>
      </c>
      <c r="C10" s="13"/>
      <c r="D10" s="28"/>
      <c r="E10" s="48">
        <v>45733</v>
      </c>
    </row>
    <row r="11" ht="13">
      <c r="A11" s="46" t="s">
        <v>37</v>
      </c>
      <c r="B11" s="47">
        <v>12929.9</v>
      </c>
      <c r="C11" s="13"/>
      <c r="D11" s="28"/>
      <c r="E11" s="48">
        <v>45730</v>
      </c>
    </row>
    <row r="12" ht="13">
      <c r="A12" s="12" t="s">
        <v>12</v>
      </c>
      <c r="B12" s="28">
        <v>676</v>
      </c>
      <c r="C12" s="13"/>
      <c r="D12" s="28"/>
      <c r="E12" s="48">
        <v>45733</v>
      </c>
    </row>
    <row r="13" ht="13">
      <c r="A13" s="12" t="s">
        <v>13</v>
      </c>
      <c r="B13" s="28">
        <v>2361</v>
      </c>
      <c r="C13" s="13"/>
      <c r="D13" s="28"/>
      <c r="E13" s="48">
        <v>45748</v>
      </c>
    </row>
    <row r="14" ht="13">
      <c r="A14" s="12" t="s">
        <v>14</v>
      </c>
      <c r="B14" s="28">
        <v>1763.6099999999999</v>
      </c>
      <c r="C14" s="13"/>
      <c r="D14" s="28"/>
      <c r="E14" s="44">
        <v>45736</v>
      </c>
    </row>
    <row r="15" ht="13">
      <c r="A15" s="12" t="s">
        <v>21</v>
      </c>
      <c r="B15" s="28">
        <v>4000</v>
      </c>
      <c r="C15" s="13"/>
      <c r="D15" s="28"/>
      <c r="E15" s="44">
        <v>45747</v>
      </c>
    </row>
    <row r="16" ht="13">
      <c r="A16" s="12" t="s">
        <v>35</v>
      </c>
      <c r="B16" s="28">
        <v>5000</v>
      </c>
      <c r="C16" s="13"/>
      <c r="D16" s="28"/>
      <c r="E16" s="44"/>
    </row>
    <row r="17" ht="13">
      <c r="A17" s="12" t="s">
        <v>30</v>
      </c>
      <c r="B17" s="28">
        <v>5000</v>
      </c>
      <c r="C17" s="13"/>
      <c r="D17" s="28"/>
      <c r="E17" s="44"/>
    </row>
    <row r="18" ht="13">
      <c r="A18" s="12"/>
      <c r="B18" s="28"/>
      <c r="C18" s="13"/>
      <c r="D18" s="28"/>
      <c r="E18" s="44"/>
    </row>
    <row r="19">
      <c r="A19" s="29"/>
      <c r="B19" s="30"/>
      <c r="C19" s="31"/>
      <c r="D19" s="30"/>
      <c r="E19" s="32"/>
    </row>
    <row r="20">
      <c r="A20" s="33" t="s">
        <v>22</v>
      </c>
      <c r="B20" s="34"/>
      <c r="C20" s="34"/>
      <c r="D20" s="40"/>
      <c r="E20" s="36" t="s">
        <v>32</v>
      </c>
    </row>
    <row r="21">
      <c r="A21" s="15"/>
      <c r="B21" s="26"/>
      <c r="C21" s="15"/>
      <c r="D21" s="26"/>
      <c r="E21" s="16"/>
    </row>
    <row r="22" ht="12.75" customHeight="1">
      <c r="A22" s="37" t="s">
        <v>26</v>
      </c>
      <c r="B22" s="38"/>
      <c r="C22" s="39">
        <v>0</v>
      </c>
      <c r="D22" s="38"/>
      <c r="E22" s="13">
        <v>44</v>
      </c>
    </row>
    <row r="23">
      <c r="A23" s="17" t="s">
        <v>38</v>
      </c>
      <c r="B23" s="28">
        <v>113000</v>
      </c>
      <c r="C23" s="13"/>
      <c r="D23" s="28"/>
    </row>
    <row r="24">
      <c r="A24" s="17" t="s">
        <v>39</v>
      </c>
      <c r="B24" s="28">
        <v>9000</v>
      </c>
      <c r="C24" s="13">
        <v>25.190000000000001</v>
      </c>
      <c r="D24" s="28"/>
      <c r="E24" s="3"/>
    </row>
    <row r="25">
      <c r="A25" s="17" t="s">
        <v>28</v>
      </c>
      <c r="B25" s="28">
        <v>17000</v>
      </c>
      <c r="C25" s="13"/>
      <c r="D25" s="28"/>
      <c r="E25" s="3"/>
    </row>
    <row r="26">
      <c r="A26" s="17" t="s">
        <v>33</v>
      </c>
      <c r="B26" s="28">
        <v>20000</v>
      </c>
      <c r="C26" s="13"/>
      <c r="D26" s="28"/>
      <c r="E26" s="3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>
      <c r="B38" s="21"/>
      <c r="C38" s="2"/>
      <c r="D38" s="21"/>
    </row>
    <row r="39"/>
    <row r="40"/>
    <row r="41"/>
    <row r="42"/>
    <row r="43"/>
    <row r="44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20:D21"/>
    <mergeCell ref="E20:E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60" verticalDpi="36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7" zoomScale="100" workbookViewId="0">
      <selection activeCell="G6" activeCellId="0" sqref="G6"/>
    </sheetView>
  </sheetViews>
  <sheetFormatPr baseColWidth="10" defaultColWidth="9.1796875"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</cols>
  <sheetData>
    <row r="1" ht="12.75" customHeight="1">
      <c r="A1" s="22" t="s">
        <v>20</v>
      </c>
      <c r="B1" s="24"/>
      <c r="C1" s="24"/>
      <c r="D1" s="24"/>
      <c r="E1" s="25"/>
    </row>
    <row r="2" ht="12.75" customHeight="1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3">
      <c r="A4" s="12" t="s">
        <v>5</v>
      </c>
      <c r="B4" s="45">
        <v>57024</v>
      </c>
      <c r="C4" s="49"/>
      <c r="D4" s="45">
        <v>57024</v>
      </c>
      <c r="E4" s="48">
        <v>45757</v>
      </c>
    </row>
    <row r="5" ht="13">
      <c r="A5" s="12" t="s">
        <v>6</v>
      </c>
      <c r="B5" s="45">
        <v>25143.689999999999</v>
      </c>
      <c r="C5" s="49"/>
      <c r="D5" s="45"/>
      <c r="E5" s="48">
        <v>45761</v>
      </c>
    </row>
    <row r="6" ht="13">
      <c r="A6" s="12" t="s">
        <v>7</v>
      </c>
      <c r="B6" s="45"/>
      <c r="C6" s="49">
        <v>0</v>
      </c>
      <c r="D6" s="45"/>
      <c r="E6" s="48">
        <v>45761</v>
      </c>
    </row>
    <row r="7" ht="13">
      <c r="A7" s="12" t="s">
        <v>8</v>
      </c>
      <c r="B7" s="45">
        <v>29316</v>
      </c>
      <c r="C7" s="49"/>
      <c r="D7" s="45"/>
      <c r="E7" s="48">
        <v>45761</v>
      </c>
    </row>
    <row r="8" ht="13">
      <c r="A8" s="12" t="s">
        <v>9</v>
      </c>
      <c r="B8" s="45"/>
      <c r="C8" s="49">
        <v>19</v>
      </c>
      <c r="D8" s="45"/>
      <c r="E8" s="48">
        <v>45761</v>
      </c>
    </row>
    <row r="9" ht="13">
      <c r="A9" s="12" t="s">
        <v>10</v>
      </c>
      <c r="B9" s="45">
        <v>10350</v>
      </c>
      <c r="C9" s="49"/>
      <c r="D9" s="45"/>
      <c r="E9" s="48">
        <v>45761</v>
      </c>
    </row>
    <row r="10" ht="13">
      <c r="A10" s="12" t="s">
        <v>11</v>
      </c>
      <c r="B10" s="45">
        <v>8107.3699999999999</v>
      </c>
      <c r="C10" s="49"/>
      <c r="D10" s="45"/>
      <c r="E10" s="48">
        <v>45757</v>
      </c>
    </row>
    <row r="11" ht="13">
      <c r="A11" s="46" t="s">
        <v>37</v>
      </c>
      <c r="B11" s="50">
        <v>11941.559999999999</v>
      </c>
      <c r="C11" s="49"/>
      <c r="D11" s="45"/>
      <c r="E11" s="48">
        <v>45762</v>
      </c>
    </row>
    <row r="12" ht="13">
      <c r="A12" s="12" t="s">
        <v>12</v>
      </c>
      <c r="B12" s="45">
        <v>676</v>
      </c>
      <c r="C12" s="49"/>
      <c r="D12" s="45"/>
      <c r="E12" s="48">
        <v>45762</v>
      </c>
    </row>
    <row r="13" ht="13">
      <c r="A13" s="12" t="s">
        <v>13</v>
      </c>
      <c r="B13" s="45">
        <v>1900</v>
      </c>
      <c r="C13" s="49"/>
      <c r="D13" s="45"/>
      <c r="E13" s="48">
        <v>45759</v>
      </c>
    </row>
    <row r="14" ht="13">
      <c r="A14" s="12" t="s">
        <v>14</v>
      </c>
      <c r="B14" s="45">
        <v>1793</v>
      </c>
      <c r="C14" s="49"/>
      <c r="D14" s="45"/>
      <c r="E14" s="48">
        <v>45767</v>
      </c>
    </row>
    <row r="15" ht="13">
      <c r="A15" s="12" t="s">
        <v>21</v>
      </c>
      <c r="B15" s="45">
        <v>4300</v>
      </c>
      <c r="C15" s="49"/>
      <c r="D15" s="45"/>
      <c r="E15" s="48">
        <v>45747</v>
      </c>
    </row>
    <row r="16" ht="13">
      <c r="A16" s="12" t="s">
        <v>35</v>
      </c>
      <c r="B16" s="45">
        <v>5000</v>
      </c>
      <c r="C16" s="49"/>
      <c r="D16" s="45"/>
      <c r="E16" s="48"/>
    </row>
    <row r="17" ht="13">
      <c r="A17" s="12" t="s">
        <v>30</v>
      </c>
      <c r="B17" s="45">
        <v>5000</v>
      </c>
      <c r="C17" s="49"/>
      <c r="D17" s="45"/>
      <c r="E17" s="48"/>
    </row>
    <row r="18" ht="13">
      <c r="A18" s="12" t="s">
        <v>40</v>
      </c>
      <c r="B18" s="45">
        <v>8000</v>
      </c>
      <c r="C18" s="49"/>
      <c r="D18" s="45"/>
      <c r="E18" s="48"/>
    </row>
    <row r="19">
      <c r="A19" s="29"/>
      <c r="B19" s="30"/>
      <c r="C19" s="31"/>
      <c r="D19" s="30"/>
      <c r="E19" s="32"/>
    </row>
    <row r="20">
      <c r="A20" s="33" t="s">
        <v>22</v>
      </c>
      <c r="B20" s="34"/>
      <c r="C20" s="34"/>
      <c r="D20" s="40"/>
      <c r="E20" s="36" t="s">
        <v>32</v>
      </c>
    </row>
    <row r="21">
      <c r="A21" s="15"/>
      <c r="B21" s="26"/>
      <c r="C21" s="15"/>
      <c r="D21" s="26"/>
      <c r="E21" s="16"/>
    </row>
    <row r="22" ht="12.75" customHeight="1">
      <c r="A22" s="37" t="s">
        <v>26</v>
      </c>
      <c r="B22" s="38"/>
      <c r="C22" s="39">
        <v>0</v>
      </c>
      <c r="D22" s="38"/>
      <c r="E22" s="13">
        <v>44</v>
      </c>
    </row>
    <row r="23">
      <c r="A23" s="17" t="s">
        <v>38</v>
      </c>
      <c r="B23" s="28">
        <v>114000</v>
      </c>
      <c r="C23" s="13"/>
      <c r="D23" s="28"/>
    </row>
    <row r="24">
      <c r="A24" s="17" t="s">
        <v>39</v>
      </c>
      <c r="B24" s="28">
        <v>70000</v>
      </c>
      <c r="C24" s="13">
        <v>25.190000000000001</v>
      </c>
      <c r="D24" s="28"/>
      <c r="E24" s="3"/>
    </row>
    <row r="25">
      <c r="A25" s="17" t="s">
        <v>28</v>
      </c>
      <c r="B25" s="28">
        <v>10000</v>
      </c>
      <c r="C25" s="13"/>
      <c r="D25" s="28"/>
      <c r="E25" s="3"/>
    </row>
    <row r="26">
      <c r="A26" s="17" t="s">
        <v>33</v>
      </c>
      <c r="B26" s="28">
        <v>0</v>
      </c>
      <c r="C26" s="13"/>
      <c r="D26" s="28"/>
      <c r="E26" s="3"/>
    </row>
    <row r="27">
      <c r="B27" s="21"/>
      <c r="C27" s="2"/>
      <c r="D27" s="21"/>
    </row>
    <row r="28">
      <c r="B28" s="21"/>
      <c r="C28" s="2"/>
      <c r="D28" s="21"/>
    </row>
    <row r="29">
      <c r="B29" s="21"/>
      <c r="C29" s="2"/>
      <c r="D29" s="21"/>
    </row>
    <row r="30">
      <c r="B30" s="21"/>
      <c r="C30" s="2"/>
      <c r="D30" s="21"/>
    </row>
    <row r="31">
      <c r="B31" s="21"/>
      <c r="C31" s="2"/>
      <c r="D31" s="21"/>
    </row>
    <row r="32">
      <c r="B32" s="21"/>
      <c r="C32" s="2"/>
      <c r="D32" s="21"/>
    </row>
    <row r="33">
      <c r="B33" s="21"/>
      <c r="C33" s="2"/>
      <c r="D33" s="21"/>
    </row>
    <row r="34">
      <c r="B34" s="21"/>
      <c r="C34" s="2"/>
      <c r="D34" s="21"/>
    </row>
    <row r="35">
      <c r="B35" s="21"/>
      <c r="C35" s="2"/>
      <c r="D35" s="21"/>
    </row>
    <row r="36">
      <c r="B36" s="21"/>
      <c r="C36" s="2"/>
      <c r="D36" s="21"/>
    </row>
    <row r="37">
      <c r="B37" s="21"/>
      <c r="C37" s="2"/>
      <c r="D37" s="21"/>
    </row>
    <row r="38"/>
    <row r="39"/>
    <row r="40"/>
    <row r="41"/>
    <row r="42"/>
    <row r="43"/>
    <row r="44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20:D21"/>
    <mergeCell ref="E20:E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100" workbookViewId="0">
      <selection activeCell="A1" activeCellId="0" sqref="A1"/>
    </sheetView>
  </sheetViews>
  <sheetFormatPr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  <col customWidth="1" min="6" max="7" width="9.140625"/>
  </cols>
  <sheetData>
    <row r="1" ht="12.75">
      <c r="A1" s="22" t="s">
        <v>20</v>
      </c>
      <c r="B1" s="24"/>
      <c r="C1" s="24"/>
      <c r="D1" s="24"/>
      <c r="E1" s="25"/>
      <c r="F1" s="51"/>
      <c r="G1" s="51"/>
    </row>
    <row r="2" ht="12.75">
      <c r="A2" s="8"/>
      <c r="B2" s="26"/>
      <c r="C2" s="8"/>
      <c r="D2" s="26"/>
      <c r="E2" s="8"/>
      <c r="F2" s="51"/>
      <c r="G2" s="51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  <c r="F3" s="51"/>
      <c r="G3" s="51"/>
    </row>
    <row r="4" ht="12.75">
      <c r="A4" s="12" t="s">
        <v>5</v>
      </c>
      <c r="B4" s="49">
        <v>57024</v>
      </c>
      <c r="C4" s="49"/>
      <c r="D4" s="49">
        <v>57024</v>
      </c>
      <c r="E4" s="48">
        <v>45787</v>
      </c>
      <c r="F4" s="51"/>
      <c r="G4" s="51"/>
    </row>
    <row r="5" ht="12.75">
      <c r="A5" s="12" t="s">
        <v>6</v>
      </c>
      <c r="B5" s="49">
        <v>25153.029999999999</v>
      </c>
      <c r="C5" s="49"/>
      <c r="D5" s="49"/>
      <c r="E5" s="48">
        <v>45790</v>
      </c>
      <c r="F5" s="51"/>
      <c r="G5" s="51"/>
    </row>
    <row r="6" ht="12.75">
      <c r="A6" s="12" t="s">
        <v>7</v>
      </c>
      <c r="B6" s="49"/>
      <c r="C6" s="49">
        <v>0</v>
      </c>
      <c r="D6" s="49"/>
      <c r="E6" s="48">
        <v>45790</v>
      </c>
      <c r="F6" s="51"/>
      <c r="G6" s="51"/>
    </row>
    <row r="7" ht="12.75">
      <c r="A7" s="12" t="s">
        <v>8</v>
      </c>
      <c r="B7" s="49">
        <v>30693</v>
      </c>
      <c r="C7" s="49"/>
      <c r="D7" s="49"/>
      <c r="E7" s="48">
        <v>45792</v>
      </c>
      <c r="F7" s="51"/>
      <c r="G7" s="51"/>
    </row>
    <row r="8" ht="12.75">
      <c r="A8" s="12" t="s">
        <v>9</v>
      </c>
      <c r="B8" s="49"/>
      <c r="C8" s="49">
        <v>19</v>
      </c>
      <c r="D8" s="49"/>
      <c r="E8" s="48">
        <v>45792</v>
      </c>
      <c r="F8" s="51"/>
      <c r="G8" s="51"/>
    </row>
    <row r="9" ht="12.75">
      <c r="A9" s="12" t="s">
        <v>10</v>
      </c>
      <c r="B9" s="49">
        <v>7037</v>
      </c>
      <c r="C9" s="49"/>
      <c r="D9" s="49"/>
      <c r="E9" s="48">
        <v>45791</v>
      </c>
      <c r="F9" s="51"/>
      <c r="G9" s="51"/>
    </row>
    <row r="10" ht="12.75">
      <c r="A10" s="12" t="s">
        <v>11</v>
      </c>
      <c r="B10" s="49">
        <v>9628</v>
      </c>
      <c r="C10" s="49"/>
      <c r="D10" s="49"/>
      <c r="E10" s="48">
        <v>45792</v>
      </c>
      <c r="F10" s="51"/>
      <c r="G10" s="51"/>
    </row>
    <row r="11" ht="12.75">
      <c r="A11" s="46" t="s">
        <v>37</v>
      </c>
      <c r="B11" s="49">
        <v>15747.75</v>
      </c>
      <c r="C11" s="49"/>
      <c r="D11" s="49"/>
      <c r="E11" s="48">
        <v>45792</v>
      </c>
      <c r="F11" s="51"/>
      <c r="G11" s="51"/>
    </row>
    <row r="12" ht="12.75">
      <c r="A12" s="12" t="s">
        <v>12</v>
      </c>
      <c r="B12" s="49">
        <v>642</v>
      </c>
      <c r="C12" s="49"/>
      <c r="D12" s="49"/>
      <c r="E12" s="48">
        <v>45796</v>
      </c>
      <c r="F12" s="51"/>
      <c r="G12" s="51"/>
    </row>
    <row r="13" ht="12.75">
      <c r="A13" s="12" t="s">
        <v>13</v>
      </c>
      <c r="B13" s="49">
        <v>1921</v>
      </c>
      <c r="C13" s="49"/>
      <c r="D13" s="49"/>
      <c r="E13" s="48">
        <v>45810</v>
      </c>
      <c r="F13" s="51"/>
      <c r="G13" s="51"/>
    </row>
    <row r="14" ht="12.75">
      <c r="A14" s="12" t="s">
        <v>14</v>
      </c>
      <c r="B14" s="49">
        <v>4111</v>
      </c>
      <c r="C14" s="49"/>
      <c r="D14" s="49"/>
      <c r="E14" s="48">
        <v>45797</v>
      </c>
      <c r="F14" s="51"/>
      <c r="G14" s="51"/>
    </row>
    <row r="15" ht="12.75">
      <c r="A15" s="12" t="s">
        <v>21</v>
      </c>
      <c r="B15" s="49">
        <v>3122</v>
      </c>
      <c r="C15" s="49"/>
      <c r="D15" s="49"/>
      <c r="E15" s="48">
        <v>45808</v>
      </c>
      <c r="F15" s="51"/>
      <c r="G15" s="51"/>
    </row>
    <row r="16" ht="12.75">
      <c r="A16" s="12" t="s">
        <v>35</v>
      </c>
      <c r="B16" s="52">
        <v>2000</v>
      </c>
      <c r="C16" s="52"/>
      <c r="D16" s="52"/>
      <c r="E16" s="53"/>
      <c r="F16" s="51"/>
      <c r="G16" s="51"/>
    </row>
    <row r="17" ht="12.75">
      <c r="A17" s="12" t="s">
        <v>30</v>
      </c>
      <c r="B17" s="52">
        <v>10000</v>
      </c>
      <c r="C17" s="52"/>
      <c r="D17" s="52"/>
      <c r="E17" s="53"/>
      <c r="F17" s="51"/>
      <c r="G17" s="51"/>
    </row>
    <row r="18" ht="12.75">
      <c r="A18" s="12"/>
      <c r="B18" s="52"/>
      <c r="C18" s="52"/>
      <c r="D18" s="52"/>
      <c r="E18" s="53"/>
      <c r="F18" s="51"/>
      <c r="G18" s="51"/>
    </row>
    <row r="19" ht="14.25">
      <c r="A19" s="41" t="s">
        <v>1</v>
      </c>
      <c r="B19" s="43">
        <f>SUM(B4:B18)</f>
        <v>167078.78</v>
      </c>
      <c r="C19" s="43">
        <f>SUM(C4:C16)</f>
        <v>19</v>
      </c>
      <c r="D19" s="43">
        <f>SUM(D4:D16)</f>
        <v>57024</v>
      </c>
      <c r="E19" s="3"/>
      <c r="F19" s="51"/>
      <c r="G19" s="51"/>
    </row>
    <row r="20" ht="12.75">
      <c r="A20" s="29"/>
      <c r="B20" s="30"/>
      <c r="C20" s="31"/>
      <c r="D20" s="30"/>
      <c r="E20" s="32"/>
      <c r="F20" s="51"/>
      <c r="G20" s="51"/>
    </row>
    <row r="21" ht="12.75">
      <c r="A21" s="33" t="s">
        <v>22</v>
      </c>
      <c r="B21" s="34"/>
      <c r="C21" s="34"/>
      <c r="D21" s="40"/>
      <c r="E21" s="36" t="s">
        <v>32</v>
      </c>
      <c r="F21" s="51"/>
      <c r="G21" s="51"/>
    </row>
    <row r="22" ht="12.75">
      <c r="A22" s="15"/>
      <c r="B22" s="26"/>
      <c r="C22" s="15"/>
      <c r="D22" s="26"/>
      <c r="E22" s="16"/>
      <c r="F22" s="51"/>
      <c r="G22" s="51"/>
    </row>
    <row r="23" ht="16.5">
      <c r="A23" s="37" t="s">
        <v>26</v>
      </c>
      <c r="B23" s="54"/>
      <c r="C23" s="55">
        <v>0</v>
      </c>
      <c r="D23" s="54"/>
      <c r="E23" s="13">
        <v>44</v>
      </c>
      <c r="F23" s="51"/>
      <c r="G23" s="51"/>
    </row>
    <row r="24" ht="12.75">
      <c r="A24" s="17" t="s">
        <v>38</v>
      </c>
      <c r="B24" s="13">
        <v>114000</v>
      </c>
      <c r="C24" s="13"/>
      <c r="D24" s="13"/>
      <c r="E24" s="51"/>
      <c r="F24" s="51"/>
      <c r="G24" s="51"/>
    </row>
    <row r="25" ht="12.75">
      <c r="A25" s="17" t="s">
        <v>39</v>
      </c>
      <c r="B25" s="13">
        <v>65000</v>
      </c>
      <c r="C25" s="13">
        <v>25.190000000000001</v>
      </c>
      <c r="D25" s="13"/>
      <c r="E25" s="3"/>
      <c r="F25" s="51"/>
      <c r="G25" s="51"/>
    </row>
    <row r="26" ht="12.75">
      <c r="A26" s="17" t="s">
        <v>28</v>
      </c>
      <c r="B26" s="13">
        <v>18000</v>
      </c>
      <c r="C26" s="13"/>
      <c r="D26" s="13"/>
      <c r="E26" s="3"/>
      <c r="F26" s="51"/>
      <c r="G26" s="51"/>
    </row>
    <row r="27" ht="12.75">
      <c r="A27" s="17" t="s">
        <v>33</v>
      </c>
      <c r="B27" s="13">
        <v>0</v>
      </c>
      <c r="C27" s="13"/>
      <c r="D27" s="13"/>
      <c r="E27" s="3"/>
      <c r="F27" s="51"/>
      <c r="G27" s="51"/>
    </row>
    <row r="28" ht="12.75">
      <c r="A28" s="51"/>
      <c r="B28" s="21"/>
      <c r="C28" s="2"/>
      <c r="D28" s="21"/>
      <c r="E28" s="51"/>
      <c r="F28" s="51"/>
      <c r="G28" s="51"/>
    </row>
    <row r="29" ht="12.75">
      <c r="A29" s="51"/>
      <c r="B29" s="21"/>
      <c r="C29" s="2"/>
      <c r="D29" s="21"/>
      <c r="E29" s="51"/>
      <c r="F29" s="51"/>
      <c r="G29" s="51"/>
    </row>
    <row r="30" ht="12.75">
      <c r="A30" s="51"/>
      <c r="B30" s="21"/>
      <c r="C30" s="2"/>
      <c r="D30" s="21"/>
      <c r="E30" s="51"/>
      <c r="F30" s="51"/>
      <c r="G30" s="51"/>
    </row>
    <row r="31" ht="12.75">
      <c r="A31" s="51"/>
      <c r="B31" s="51"/>
      <c r="C31" s="51"/>
      <c r="D31" s="51"/>
      <c r="E31" s="51"/>
      <c r="F31" s="51"/>
      <c r="G31" s="51"/>
    </row>
    <row r="32" ht="12.75">
      <c r="A32" s="51"/>
      <c r="B32" s="51"/>
      <c r="C32" s="51"/>
      <c r="D32" s="51"/>
      <c r="E32" s="51"/>
      <c r="F32" s="51"/>
      <c r="G32" s="51"/>
    </row>
    <row r="33" ht="12.75">
      <c r="A33" s="51"/>
      <c r="B33" s="51"/>
      <c r="C33" s="51"/>
      <c r="D33" s="51"/>
      <c r="E33" s="51"/>
      <c r="F33" s="51"/>
      <c r="G33" s="51"/>
    </row>
    <row r="34" ht="12.75">
      <c r="A34" s="51"/>
      <c r="B34" s="51"/>
      <c r="C34" s="51"/>
      <c r="D34" s="51"/>
      <c r="E34" s="51"/>
      <c r="F34" s="51"/>
      <c r="G34" s="51"/>
    </row>
    <row r="35" ht="12.75">
      <c r="A35" s="51"/>
      <c r="B35" s="51"/>
      <c r="C35" s="51"/>
      <c r="D35" s="51"/>
      <c r="E35" s="51"/>
      <c r="F35" s="51"/>
      <c r="G35" s="51"/>
    </row>
    <row r="36" ht="12.75">
      <c r="A36" s="51"/>
      <c r="B36" s="51"/>
      <c r="C36" s="51"/>
      <c r="D36" s="51"/>
      <c r="E36" s="51"/>
      <c r="F36" s="51"/>
      <c r="G36" s="51"/>
    </row>
    <row r="37" ht="12.75">
      <c r="A37" s="51"/>
      <c r="B37" s="51"/>
      <c r="C37" s="51"/>
      <c r="D37" s="51"/>
      <c r="E37" s="51"/>
      <c r="F37" s="51"/>
      <c r="G37" s="51"/>
    </row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21:D22"/>
    <mergeCell ref="E21:E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100" workbookViewId="0">
      <selection activeCell="A1" activeCellId="0" sqref="A1"/>
    </sheetView>
  </sheetViews>
  <sheetFormatPr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  <col customWidth="1" min="6" max="7" width="9.140625"/>
  </cols>
  <sheetData>
    <row r="1" ht="12.75">
      <c r="A1" s="22" t="s">
        <v>20</v>
      </c>
      <c r="B1" s="24"/>
      <c r="C1" s="24"/>
      <c r="D1" s="24"/>
      <c r="E1" s="25"/>
      <c r="F1" s="51"/>
      <c r="G1" s="51"/>
    </row>
    <row r="2" ht="12.75">
      <c r="A2" s="8"/>
      <c r="B2" s="26"/>
      <c r="C2" s="8"/>
      <c r="D2" s="26"/>
      <c r="E2" s="8"/>
      <c r="F2" s="51"/>
      <c r="G2" s="51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  <c r="F3" s="51"/>
      <c r="G3" s="51"/>
    </row>
    <row r="4" ht="12.75">
      <c r="A4" s="12" t="s">
        <v>5</v>
      </c>
      <c r="B4" s="49">
        <v>65000</v>
      </c>
      <c r="C4" s="49"/>
      <c r="D4" s="49">
        <v>65000</v>
      </c>
      <c r="E4" s="48">
        <v>45818</v>
      </c>
      <c r="F4" s="51"/>
      <c r="G4" s="51"/>
    </row>
    <row r="5" ht="12.75">
      <c r="A5" s="12" t="s">
        <v>6</v>
      </c>
      <c r="B5" s="49">
        <v>26013.77</v>
      </c>
      <c r="C5" s="49"/>
      <c r="D5" s="49">
        <v>3600</v>
      </c>
      <c r="E5" s="48">
        <v>45821</v>
      </c>
      <c r="F5" s="51"/>
      <c r="G5" s="51"/>
    </row>
    <row r="6" ht="12.75">
      <c r="A6" s="12" t="s">
        <v>7</v>
      </c>
      <c r="B6" s="49"/>
      <c r="C6" s="49">
        <v>0</v>
      </c>
      <c r="D6" s="49"/>
      <c r="E6" s="48">
        <v>45821</v>
      </c>
      <c r="F6" s="51"/>
      <c r="G6" s="51"/>
    </row>
    <row r="7" ht="12.75">
      <c r="A7" s="12" t="s">
        <v>8</v>
      </c>
      <c r="B7" s="49">
        <v>33208</v>
      </c>
      <c r="C7" s="49"/>
      <c r="D7" s="49">
        <v>6131</v>
      </c>
      <c r="E7" s="48">
        <v>45821</v>
      </c>
      <c r="F7" s="51"/>
      <c r="G7" s="51"/>
    </row>
    <row r="8" ht="12.75">
      <c r="A8" s="12" t="s">
        <v>9</v>
      </c>
      <c r="B8" s="49"/>
      <c r="C8" s="49">
        <v>19</v>
      </c>
      <c r="D8" s="49"/>
      <c r="E8" s="48">
        <v>45821</v>
      </c>
      <c r="F8" s="51"/>
      <c r="G8" s="51"/>
    </row>
    <row r="9" ht="12.75">
      <c r="A9" s="12" t="s">
        <v>10</v>
      </c>
      <c r="B9" s="49">
        <v>5878</v>
      </c>
      <c r="C9" s="49"/>
      <c r="D9" s="49"/>
      <c r="E9" s="48">
        <v>45821</v>
      </c>
      <c r="F9" s="51"/>
      <c r="G9" s="51"/>
    </row>
    <row r="10" ht="12.75">
      <c r="A10" s="12" t="s">
        <v>11</v>
      </c>
      <c r="B10" s="49">
        <v>3414.8099999999999</v>
      </c>
      <c r="C10" s="49"/>
      <c r="D10" s="49"/>
      <c r="E10" s="48">
        <v>45820</v>
      </c>
      <c r="F10" s="51"/>
      <c r="G10" s="51"/>
    </row>
    <row r="11" ht="12.75">
      <c r="A11" s="46" t="s">
        <v>37</v>
      </c>
      <c r="B11" s="49">
        <v>4145.9200000000001</v>
      </c>
      <c r="C11" s="49"/>
      <c r="D11" s="49"/>
      <c r="E11" s="48">
        <v>45821</v>
      </c>
      <c r="F11" s="51"/>
      <c r="G11" s="51"/>
    </row>
    <row r="12" ht="12.75">
      <c r="A12" s="12" t="s">
        <v>12</v>
      </c>
      <c r="B12" s="49">
        <v>642</v>
      </c>
      <c r="C12" s="49"/>
      <c r="D12" s="49"/>
      <c r="E12" s="48">
        <v>45824</v>
      </c>
      <c r="F12" s="51"/>
      <c r="G12" s="51"/>
    </row>
    <row r="13" ht="12.75">
      <c r="A13" s="12" t="s">
        <v>13</v>
      </c>
      <c r="B13" s="49">
        <v>1895</v>
      </c>
      <c r="C13" s="49"/>
      <c r="D13" s="49"/>
      <c r="E13" s="48">
        <v>45819</v>
      </c>
      <c r="F13" s="51"/>
      <c r="G13" s="51"/>
    </row>
    <row r="14" ht="12.75">
      <c r="A14" s="12" t="s">
        <v>14</v>
      </c>
      <c r="B14" s="49">
        <v>1793</v>
      </c>
      <c r="C14" s="49"/>
      <c r="D14" s="49"/>
      <c r="E14" s="48">
        <v>45828</v>
      </c>
      <c r="F14" s="51"/>
      <c r="G14" s="51"/>
    </row>
    <row r="15" ht="12.75">
      <c r="A15" s="12" t="s">
        <v>21</v>
      </c>
      <c r="B15" s="49" t="e">
        <f>#REF!</f>
        <v>#REF!</v>
      </c>
      <c r="C15" s="49"/>
      <c r="D15" s="49"/>
      <c r="E15" s="48">
        <v>45838</v>
      </c>
      <c r="F15" s="51"/>
      <c r="G15" s="51"/>
    </row>
    <row r="16" ht="12.75">
      <c r="A16" s="12" t="s">
        <v>35</v>
      </c>
      <c r="B16" s="49">
        <v>0</v>
      </c>
      <c r="C16" s="52"/>
      <c r="D16" s="52"/>
      <c r="E16" s="53"/>
      <c r="F16" s="51"/>
      <c r="G16" s="51"/>
    </row>
    <row r="17" ht="12.75">
      <c r="A17" s="12" t="s">
        <v>30</v>
      </c>
      <c r="B17" s="49">
        <v>0</v>
      </c>
      <c r="C17" s="52"/>
      <c r="D17" s="52"/>
      <c r="E17" s="53"/>
      <c r="F17" s="51"/>
      <c r="G17" s="51"/>
    </row>
    <row r="18" ht="12.75">
      <c r="A18" s="12"/>
      <c r="B18" s="52"/>
      <c r="C18" s="52"/>
      <c r="D18" s="52"/>
      <c r="E18" s="53"/>
      <c r="F18" s="51"/>
      <c r="G18" s="51"/>
    </row>
    <row r="19" ht="12.75">
      <c r="A19" s="29"/>
      <c r="B19" s="30"/>
      <c r="C19" s="31"/>
      <c r="D19" s="30"/>
      <c r="E19" s="32"/>
      <c r="F19" s="51"/>
      <c r="G19" s="51"/>
    </row>
    <row r="20" ht="12.75">
      <c r="A20" s="33" t="s">
        <v>22</v>
      </c>
      <c r="B20" s="34"/>
      <c r="C20" s="34"/>
      <c r="D20" s="40"/>
      <c r="E20" s="36" t="s">
        <v>32</v>
      </c>
      <c r="F20" s="51"/>
      <c r="G20" s="51"/>
    </row>
    <row r="21" ht="12.75">
      <c r="A21" s="15"/>
      <c r="B21" s="26"/>
      <c r="C21" s="15"/>
      <c r="D21" s="26"/>
      <c r="E21" s="16"/>
      <c r="F21" s="51"/>
      <c r="G21" s="51"/>
    </row>
    <row r="22" ht="16.5">
      <c r="A22" s="37" t="s">
        <v>26</v>
      </c>
      <c r="B22" s="54"/>
      <c r="C22" s="55">
        <v>0</v>
      </c>
      <c r="D22" s="54"/>
      <c r="E22" s="13">
        <v>44</v>
      </c>
      <c r="F22" s="51"/>
      <c r="G22" s="51"/>
    </row>
    <row r="23" ht="12.75">
      <c r="A23" s="17" t="s">
        <v>38</v>
      </c>
      <c r="B23" s="13">
        <v>113000</v>
      </c>
      <c r="C23" s="13"/>
      <c r="D23" s="13"/>
      <c r="E23" s="51"/>
      <c r="F23" s="51"/>
      <c r="G23" s="51"/>
    </row>
    <row r="24" ht="12.75">
      <c r="A24" s="17" t="s">
        <v>39</v>
      </c>
      <c r="B24" s="13">
        <v>68000</v>
      </c>
      <c r="C24" s="13">
        <v>25.190000000000001</v>
      </c>
      <c r="D24" s="13"/>
      <c r="E24" s="3"/>
      <c r="F24" s="51"/>
      <c r="G24" s="51"/>
    </row>
    <row r="25" ht="12.75">
      <c r="A25" s="17" t="s">
        <v>28</v>
      </c>
      <c r="B25" s="13">
        <v>20000</v>
      </c>
      <c r="C25" s="13"/>
      <c r="D25" s="13"/>
      <c r="E25" s="3"/>
      <c r="F25" s="51"/>
      <c r="G25" s="51"/>
    </row>
    <row r="26" ht="12.75">
      <c r="A26" s="17" t="s">
        <v>33</v>
      </c>
      <c r="B26" s="13">
        <v>0</v>
      </c>
      <c r="C26" s="13"/>
      <c r="D26" s="13"/>
      <c r="E26" s="3"/>
      <c r="F26" s="51"/>
      <c r="G26" s="51"/>
    </row>
    <row r="27" ht="12.75">
      <c r="A27" s="51"/>
      <c r="B27" s="21"/>
      <c r="C27" s="2"/>
      <c r="D27" s="21"/>
      <c r="E27" s="51"/>
      <c r="F27" s="51"/>
      <c r="G27" s="51"/>
    </row>
    <row r="28" ht="12.75">
      <c r="A28" s="51"/>
      <c r="B28" s="51"/>
      <c r="C28" s="51"/>
      <c r="D28" s="51"/>
      <c r="E28" s="51"/>
      <c r="F28" s="51"/>
      <c r="G28" s="51"/>
    </row>
    <row r="29" ht="12.75">
      <c r="A29" s="51"/>
      <c r="B29" s="51"/>
      <c r="C29" s="51"/>
      <c r="D29" s="51"/>
      <c r="E29" s="51"/>
      <c r="F29" s="51"/>
      <c r="G29" s="51"/>
    </row>
    <row r="30" ht="12.75">
      <c r="A30" s="51"/>
      <c r="B30" s="51"/>
      <c r="C30" s="51"/>
      <c r="D30" s="51"/>
      <c r="E30" s="51"/>
      <c r="F30" s="51"/>
      <c r="G30" s="51"/>
    </row>
    <row r="31" ht="12.75">
      <c r="A31" s="51"/>
      <c r="B31" s="51"/>
      <c r="C31" s="51"/>
      <c r="D31" s="51"/>
      <c r="E31" s="51"/>
      <c r="F31" s="51"/>
      <c r="G31" s="51"/>
    </row>
    <row r="32" ht="12.75">
      <c r="A32" s="51"/>
      <c r="B32" s="51"/>
      <c r="C32" s="51"/>
      <c r="D32" s="51"/>
      <c r="E32" s="51"/>
      <c r="F32" s="51"/>
      <c r="G32" s="51"/>
    </row>
    <row r="33" ht="12.75">
      <c r="A33" s="51"/>
      <c r="B33" s="51"/>
      <c r="C33" s="51"/>
      <c r="D33" s="51"/>
      <c r="E33" s="51"/>
      <c r="F33" s="51"/>
      <c r="G33" s="51"/>
    </row>
    <row r="34" ht="12.75">
      <c r="A34" s="51"/>
      <c r="B34" s="51"/>
      <c r="C34" s="51"/>
      <c r="D34" s="51"/>
      <c r="E34" s="51"/>
      <c r="F34" s="51"/>
      <c r="G34" s="51"/>
    </row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20:D21"/>
    <mergeCell ref="E20:E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0" zoomScale="100" workbookViewId="0">
      <selection activeCell="A1" activeCellId="0" sqref="A1"/>
    </sheetView>
  </sheetViews>
  <sheetFormatPr defaultRowHeight="12.75"/>
  <cols>
    <col bestFit="1" customWidth="1" min="1" max="1" width="13.81640625"/>
    <col bestFit="1" customWidth="1" min="2" max="2" width="11.26953125"/>
    <col bestFit="1" customWidth="1" min="3" max="3" width="8.81640625"/>
    <col bestFit="1" customWidth="1" min="4" max="4" width="11.453125"/>
    <col bestFit="1" customWidth="1" min="5" max="5" width="13.453125"/>
    <col customWidth="1" min="6" max="8" width="9.140625"/>
  </cols>
  <sheetData>
    <row r="1" ht="12.75">
      <c r="A1" s="22" t="s">
        <v>20</v>
      </c>
      <c r="B1" s="24"/>
      <c r="C1" s="24"/>
      <c r="D1" s="24"/>
      <c r="E1" s="25"/>
      <c r="F1" s="51"/>
      <c r="G1" s="51"/>
      <c r="H1" s="51"/>
    </row>
    <row r="2" ht="12.75">
      <c r="A2" s="8"/>
      <c r="B2" s="26"/>
      <c r="C2" s="8"/>
      <c r="D2" s="26"/>
      <c r="E2" s="8"/>
      <c r="F2" s="51"/>
      <c r="G2" s="51"/>
      <c r="H2" s="51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  <c r="F3" s="51"/>
      <c r="G3" s="51"/>
      <c r="H3" s="51"/>
    </row>
    <row r="4" ht="12.75">
      <c r="A4" s="12" t="s">
        <v>5</v>
      </c>
      <c r="B4" s="49">
        <v>48750</v>
      </c>
      <c r="C4" s="49"/>
      <c r="D4" s="49"/>
      <c r="E4" s="48">
        <v>45848</v>
      </c>
      <c r="F4" s="51"/>
      <c r="G4" s="51"/>
      <c r="H4" s="51"/>
    </row>
    <row r="5" ht="12.75">
      <c r="A5" s="12" t="s">
        <v>6</v>
      </c>
      <c r="B5" s="49">
        <v>12573</v>
      </c>
      <c r="C5" s="49"/>
      <c r="D5" s="49"/>
      <c r="E5" s="48">
        <v>45852</v>
      </c>
      <c r="F5" s="51"/>
      <c r="G5" s="51"/>
      <c r="H5" s="51"/>
    </row>
    <row r="6" ht="12.75">
      <c r="A6" s="12" t="s">
        <v>7</v>
      </c>
      <c r="B6" s="52"/>
      <c r="C6" s="49">
        <v>0</v>
      </c>
      <c r="D6" s="49"/>
      <c r="E6" s="48">
        <v>45852</v>
      </c>
      <c r="F6" s="51"/>
      <c r="G6" s="51"/>
      <c r="H6" s="51"/>
    </row>
    <row r="7" ht="12.75">
      <c r="A7" s="12" t="s">
        <v>8</v>
      </c>
      <c r="B7" s="49">
        <v>31225</v>
      </c>
      <c r="C7" s="49"/>
      <c r="D7" s="49"/>
      <c r="E7" s="48">
        <v>45852</v>
      </c>
      <c r="F7" s="51"/>
      <c r="G7" s="51"/>
      <c r="H7" s="51"/>
    </row>
    <row r="8" ht="12.75">
      <c r="A8" s="12" t="s">
        <v>9</v>
      </c>
      <c r="B8" s="49"/>
      <c r="C8" s="49">
        <v>22.530000000000001</v>
      </c>
      <c r="D8" s="49"/>
      <c r="E8" s="48">
        <v>45852</v>
      </c>
      <c r="F8" s="51"/>
      <c r="G8" s="51"/>
      <c r="H8" s="51"/>
    </row>
    <row r="9" ht="12.75">
      <c r="A9" s="12" t="s">
        <v>10</v>
      </c>
      <c r="B9" s="49">
        <v>12509</v>
      </c>
      <c r="C9" s="49"/>
      <c r="D9" s="49"/>
      <c r="E9" s="48">
        <v>45852</v>
      </c>
      <c r="F9" s="51"/>
      <c r="G9" s="51"/>
      <c r="H9" s="51"/>
    </row>
    <row r="10" ht="12.75">
      <c r="A10" s="12" t="s">
        <v>11</v>
      </c>
      <c r="B10" s="49">
        <v>5095</v>
      </c>
      <c r="C10" s="49"/>
      <c r="D10" s="49"/>
      <c r="E10" s="48">
        <v>45848</v>
      </c>
      <c r="F10" s="51"/>
      <c r="G10" s="51"/>
      <c r="H10" s="51"/>
    </row>
    <row r="11" ht="12.75">
      <c r="A11" s="46" t="s">
        <v>37</v>
      </c>
      <c r="B11" s="49">
        <v>3586.6900000000001</v>
      </c>
      <c r="C11" s="49"/>
      <c r="D11" s="49"/>
      <c r="E11" s="48">
        <v>45853</v>
      </c>
      <c r="F11" s="51"/>
      <c r="G11" s="51"/>
      <c r="H11" s="51"/>
    </row>
    <row r="12" ht="12.75">
      <c r="A12" s="12" t="s">
        <v>12</v>
      </c>
      <c r="B12" s="49">
        <v>642</v>
      </c>
      <c r="C12" s="49"/>
      <c r="D12" s="49"/>
      <c r="E12" s="48">
        <v>45853</v>
      </c>
      <c r="F12" s="51"/>
      <c r="G12" s="51"/>
      <c r="H12" s="51"/>
    </row>
    <row r="13" ht="12.75">
      <c r="A13" s="12" t="s">
        <v>13</v>
      </c>
      <c r="B13" s="49">
        <v>1203</v>
      </c>
      <c r="C13" s="49"/>
      <c r="D13" s="49"/>
      <c r="E13" s="48">
        <v>45870</v>
      </c>
      <c r="F13" s="51"/>
      <c r="G13" s="51"/>
      <c r="H13" s="51"/>
    </row>
    <row r="14" ht="12.75">
      <c r="A14" s="12" t="s">
        <v>14</v>
      </c>
      <c r="B14" s="49">
        <v>1849</v>
      </c>
      <c r="C14" s="49"/>
      <c r="D14" s="49"/>
      <c r="E14" s="48">
        <v>45858</v>
      </c>
      <c r="F14" s="51"/>
      <c r="G14" s="51"/>
      <c r="H14" s="51"/>
    </row>
    <row r="15" ht="12.75">
      <c r="A15" s="12" t="s">
        <v>21</v>
      </c>
      <c r="B15" s="49" t="e">
        <f>#REF!*2</f>
        <v>#REF!</v>
      </c>
      <c r="C15" s="49"/>
      <c r="D15" s="49"/>
      <c r="E15" s="48">
        <v>45869</v>
      </c>
      <c r="F15" s="51"/>
      <c r="G15" s="51"/>
      <c r="H15" s="51"/>
    </row>
    <row r="16" ht="12.75">
      <c r="A16" s="12" t="s">
        <v>35</v>
      </c>
      <c r="B16" s="49">
        <v>5000</v>
      </c>
      <c r="C16" s="52"/>
      <c r="D16" s="52"/>
      <c r="E16" s="53"/>
      <c r="F16" s="51"/>
      <c r="G16" s="51"/>
      <c r="H16" s="51"/>
    </row>
    <row r="17" ht="12.75">
      <c r="A17" s="12" t="s">
        <v>30</v>
      </c>
      <c r="B17" s="49">
        <v>20000</v>
      </c>
      <c r="C17" s="52"/>
      <c r="D17" s="52"/>
      <c r="E17" s="53"/>
      <c r="F17" s="51"/>
      <c r="G17" s="51"/>
      <c r="H17" s="51"/>
    </row>
    <row r="18" ht="12.75">
      <c r="A18" s="12" t="s">
        <v>41</v>
      </c>
      <c r="B18" s="49">
        <v>15000</v>
      </c>
      <c r="C18" s="52"/>
      <c r="D18" s="52"/>
      <c r="E18" s="53"/>
      <c r="F18" s="51"/>
      <c r="G18" s="51"/>
      <c r="H18" s="51"/>
    </row>
    <row r="19" ht="12.75">
      <c r="A19" s="29"/>
      <c r="B19" s="30"/>
      <c r="C19" s="31"/>
      <c r="D19" s="30"/>
      <c r="E19" s="32"/>
      <c r="F19" s="51"/>
      <c r="G19" s="51"/>
      <c r="H19" s="51"/>
    </row>
    <row r="20" ht="12.75">
      <c r="A20" s="33" t="s">
        <v>22</v>
      </c>
      <c r="B20" s="34"/>
      <c r="C20" s="34"/>
      <c r="D20" s="40"/>
      <c r="E20" s="36" t="s">
        <v>32</v>
      </c>
      <c r="F20" s="51"/>
      <c r="G20" s="51"/>
      <c r="H20" s="51"/>
    </row>
    <row r="21" ht="12.75">
      <c r="A21" s="15"/>
      <c r="B21" s="26"/>
      <c r="C21" s="15"/>
      <c r="D21" s="26"/>
      <c r="E21" s="16"/>
      <c r="F21" s="51"/>
      <c r="G21" s="51"/>
      <c r="H21" s="51"/>
    </row>
    <row r="22" ht="16.5">
      <c r="A22" s="37" t="s">
        <v>26</v>
      </c>
      <c r="B22" s="54"/>
      <c r="C22" s="55">
        <v>0</v>
      </c>
      <c r="D22" s="54"/>
      <c r="E22" s="13">
        <v>42</v>
      </c>
      <c r="F22" s="51"/>
      <c r="G22" s="51"/>
      <c r="H22" s="51"/>
    </row>
    <row r="23" ht="12.75">
      <c r="A23" s="17" t="s">
        <v>38</v>
      </c>
      <c r="B23" s="13">
        <v>113000</v>
      </c>
      <c r="C23" s="13"/>
      <c r="D23" s="13"/>
      <c r="E23" s="51"/>
      <c r="F23" s="51"/>
      <c r="G23" s="51"/>
      <c r="H23" s="51"/>
    </row>
    <row r="24" ht="12.75">
      <c r="A24" s="17" t="s">
        <v>39</v>
      </c>
      <c r="B24" s="13">
        <v>65000</v>
      </c>
      <c r="C24" s="13">
        <v>25.190000000000001</v>
      </c>
      <c r="D24" s="13"/>
      <c r="E24" s="3"/>
      <c r="F24" s="51"/>
      <c r="G24" s="51"/>
      <c r="H24" s="51"/>
    </row>
    <row r="25" ht="12.75">
      <c r="A25" s="17" t="s">
        <v>28</v>
      </c>
      <c r="B25" s="13">
        <v>20000</v>
      </c>
      <c r="C25" s="13"/>
      <c r="D25" s="13"/>
      <c r="E25" s="3"/>
      <c r="F25" s="51"/>
      <c r="G25" s="51"/>
      <c r="H25" s="51"/>
    </row>
    <row r="26" ht="12.75">
      <c r="A26" s="17" t="s">
        <v>33</v>
      </c>
      <c r="B26" s="13">
        <v>0</v>
      </c>
      <c r="C26" s="13"/>
      <c r="D26" s="13"/>
      <c r="E26" s="3"/>
      <c r="F26" s="51"/>
      <c r="G26" s="51"/>
      <c r="H26" s="51"/>
    </row>
    <row r="27" ht="12.75">
      <c r="C27" s="2"/>
      <c r="D27" s="21"/>
      <c r="E27" s="51"/>
      <c r="F27" s="51"/>
      <c r="G27" s="51"/>
      <c r="H27" s="51"/>
    </row>
    <row r="28" ht="12.75">
      <c r="C28" s="2"/>
      <c r="D28" s="21"/>
      <c r="E28" s="51"/>
      <c r="F28" s="51"/>
      <c r="G28" s="51"/>
      <c r="H28" s="51"/>
    </row>
    <row r="29" ht="12.75">
      <c r="C29" s="51"/>
      <c r="D29" s="51"/>
      <c r="E29" s="51"/>
      <c r="F29" s="51"/>
      <c r="G29" s="51"/>
      <c r="H29" s="51"/>
    </row>
    <row r="30" ht="12.75">
      <c r="C30" s="51"/>
      <c r="D30" s="51"/>
      <c r="E30" s="51"/>
      <c r="F30" s="51"/>
      <c r="G30" s="51"/>
      <c r="H30" s="51"/>
    </row>
    <row r="31" ht="12.75">
      <c r="C31" s="51"/>
      <c r="D31" s="51"/>
      <c r="E31" s="51"/>
      <c r="F31" s="51"/>
      <c r="G31" s="51"/>
      <c r="H31" s="51"/>
    </row>
    <row r="32" ht="12.75">
      <c r="C32" s="51"/>
      <c r="D32" s="51"/>
      <c r="E32" s="51"/>
      <c r="F32" s="51"/>
      <c r="G32" s="51"/>
      <c r="H32" s="51"/>
    </row>
    <row r="33" ht="12.75">
      <c r="C33" s="51"/>
      <c r="D33" s="51"/>
      <c r="E33" s="51"/>
      <c r="F33" s="51"/>
      <c r="G33" s="51"/>
      <c r="H33" s="51"/>
    </row>
    <row r="34" ht="12.75">
      <c r="C34" s="51"/>
      <c r="D34" s="51"/>
      <c r="E34" s="51"/>
      <c r="F34" s="51"/>
      <c r="G34" s="51"/>
      <c r="H34" s="51"/>
    </row>
    <row r="35" ht="12.75">
      <c r="C35" s="51"/>
      <c r="D35" s="51"/>
      <c r="E35" s="51"/>
      <c r="F35" s="51"/>
      <c r="G35" s="51"/>
      <c r="H35" s="51"/>
    </row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</sheetData>
  <mergeCells count="3">
    <mergeCell ref="A1:E2"/>
    <mergeCell ref="A20:D21"/>
    <mergeCell ref="E20:E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1" zoomScale="100" workbookViewId="0">
      <selection activeCell="A1" activeCellId="0" sqref="A1"/>
    </sheetView>
  </sheetViews>
  <sheetFormatPr defaultRowHeight="12.75"/>
  <cols>
    <col bestFit="1" min="1" max="1" width="13.6640625"/>
    <col bestFit="1" min="2" max="2" width="11.953125"/>
    <col bestFit="1" min="3" max="3" width="8.33203125"/>
    <col bestFit="1" min="4" max="4" width="10.7109375"/>
    <col bestFit="1" min="5" max="5" width="13.00390625"/>
  </cols>
  <sheetData>
    <row r="1" ht="12.75">
      <c r="A1" s="22" t="s">
        <v>20</v>
      </c>
      <c r="B1" s="24"/>
      <c r="C1" s="24"/>
      <c r="D1" s="24"/>
      <c r="E1" s="25"/>
    </row>
    <row r="2" ht="12.75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2.75">
      <c r="A4" s="12" t="s">
        <v>5</v>
      </c>
      <c r="B4" s="49">
        <v>65000</v>
      </c>
      <c r="C4" s="49"/>
      <c r="D4" s="49"/>
      <c r="E4" s="48">
        <v>45879</v>
      </c>
    </row>
    <row r="5" ht="12.75">
      <c r="A5" s="12" t="s">
        <v>6</v>
      </c>
      <c r="B5" s="49">
        <v>35092.589999999997</v>
      </c>
      <c r="C5" s="49"/>
      <c r="D5" s="49"/>
      <c r="E5" s="48">
        <v>45882</v>
      </c>
    </row>
    <row r="6" ht="12.75">
      <c r="A6" s="12" t="s">
        <v>7</v>
      </c>
      <c r="B6" s="52"/>
      <c r="C6" s="49">
        <v>0</v>
      </c>
      <c r="D6" s="49"/>
      <c r="E6" s="48">
        <v>45882</v>
      </c>
    </row>
    <row r="7" ht="12.75">
      <c r="A7" s="12" t="s">
        <v>8</v>
      </c>
      <c r="B7" s="49">
        <v>30174</v>
      </c>
      <c r="C7" s="49"/>
      <c r="D7" s="49"/>
      <c r="E7" s="48">
        <v>45883</v>
      </c>
    </row>
    <row r="8" ht="12.75">
      <c r="A8" s="12" t="s">
        <v>9</v>
      </c>
      <c r="B8" s="49"/>
      <c r="C8" s="49">
        <v>22.530000000000001</v>
      </c>
      <c r="D8" s="49"/>
      <c r="E8" s="48">
        <v>45883</v>
      </c>
    </row>
    <row r="9" ht="12.75">
      <c r="A9" s="12" t="s">
        <v>10</v>
      </c>
      <c r="B9" s="49">
        <v>8488</v>
      </c>
      <c r="C9" s="49"/>
      <c r="D9" s="49"/>
      <c r="E9" s="48">
        <v>45882</v>
      </c>
    </row>
    <row r="10" ht="12.75">
      <c r="A10" s="12" t="s">
        <v>11</v>
      </c>
      <c r="B10" s="49">
        <v>7530.6899999999996</v>
      </c>
      <c r="C10" s="49"/>
      <c r="D10" s="49"/>
      <c r="E10" s="48">
        <v>45883</v>
      </c>
    </row>
    <row r="11" ht="12.75">
      <c r="A11" s="46" t="s">
        <v>37</v>
      </c>
      <c r="B11" s="49">
        <v>10468</v>
      </c>
      <c r="C11" s="49"/>
      <c r="D11" s="49"/>
      <c r="E11" s="48">
        <v>45882</v>
      </c>
    </row>
    <row r="12" ht="12.75">
      <c r="A12" s="12" t="s">
        <v>12</v>
      </c>
      <c r="B12" s="49">
        <v>642</v>
      </c>
      <c r="C12" s="49"/>
      <c r="D12" s="49"/>
      <c r="E12" s="48">
        <v>45887</v>
      </c>
    </row>
    <row r="13" ht="12.75">
      <c r="A13" s="12" t="s">
        <v>13</v>
      </c>
      <c r="B13" s="49">
        <v>1887</v>
      </c>
      <c r="C13" s="49"/>
      <c r="D13" s="49"/>
      <c r="E13" s="48">
        <v>45882</v>
      </c>
    </row>
    <row r="14" ht="12.75">
      <c r="A14" s="12" t="s">
        <v>14</v>
      </c>
      <c r="B14" s="49">
        <v>1849</v>
      </c>
      <c r="C14" s="49"/>
      <c r="D14" s="49"/>
      <c r="E14" s="48">
        <v>45889</v>
      </c>
    </row>
    <row r="15" ht="12.75">
      <c r="A15" s="12" t="s">
        <v>21</v>
      </c>
      <c r="B15" s="49" t="e">
        <f>#REF!</f>
        <v>#REF!</v>
      </c>
      <c r="C15" s="49"/>
      <c r="D15" s="49"/>
      <c r="E15" s="48">
        <v>45900</v>
      </c>
    </row>
    <row r="16" ht="12.75">
      <c r="A16" s="12" t="s">
        <v>35</v>
      </c>
      <c r="B16" s="49">
        <v>5000</v>
      </c>
      <c r="C16" s="52"/>
      <c r="D16" s="52"/>
      <c r="E16" s="53"/>
    </row>
    <row r="17" ht="12.75">
      <c r="A17" s="12" t="s">
        <v>30</v>
      </c>
      <c r="B17" s="49">
        <v>20000</v>
      </c>
      <c r="C17" s="52"/>
      <c r="D17" s="52"/>
      <c r="E17" s="53"/>
    </row>
    <row r="18" ht="12.75">
      <c r="A18" s="12"/>
      <c r="B18" s="49"/>
      <c r="C18" s="52"/>
      <c r="D18" s="52"/>
      <c r="E18" s="53"/>
    </row>
    <row r="19" ht="12.75">
      <c r="A19" s="29"/>
      <c r="B19" s="30"/>
      <c r="C19" s="31"/>
      <c r="D19" s="30"/>
      <c r="E19" s="32"/>
    </row>
    <row r="20" ht="12.75">
      <c r="A20" s="33" t="s">
        <v>22</v>
      </c>
      <c r="B20" s="34"/>
      <c r="C20" s="34"/>
      <c r="D20" s="40"/>
      <c r="E20" s="36" t="s">
        <v>32</v>
      </c>
    </row>
    <row r="21" ht="12.75">
      <c r="A21" s="15"/>
      <c r="B21" s="26"/>
      <c r="C21" s="15"/>
      <c r="D21" s="26"/>
      <c r="E21" s="16"/>
    </row>
    <row r="22" ht="16.5">
      <c r="A22" s="37" t="s">
        <v>26</v>
      </c>
      <c r="B22" s="54"/>
      <c r="C22" s="55">
        <v>0</v>
      </c>
      <c r="D22" s="54"/>
      <c r="E22" s="13">
        <v>42</v>
      </c>
    </row>
    <row r="23" ht="12.75">
      <c r="A23" s="17" t="s">
        <v>38</v>
      </c>
      <c r="B23" s="13">
        <v>123348</v>
      </c>
      <c r="C23" s="13"/>
      <c r="D23" s="13"/>
      <c r="E23" s="51"/>
    </row>
    <row r="24" ht="12.75">
      <c r="A24" s="17" t="s">
        <v>39</v>
      </c>
      <c r="B24" s="13">
        <v>65000</v>
      </c>
      <c r="C24" s="13">
        <v>25.190000000000001</v>
      </c>
      <c r="D24" s="13"/>
      <c r="E24" s="3"/>
    </row>
    <row r="25" ht="12.75">
      <c r="A25" s="17" t="s">
        <v>28</v>
      </c>
      <c r="B25" s="13">
        <v>20000</v>
      </c>
      <c r="C25" s="13"/>
      <c r="D25" s="13"/>
      <c r="E25" s="3"/>
    </row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</sheetData>
  <mergeCells count="3">
    <mergeCell ref="A1:E2"/>
    <mergeCell ref="A20:D21"/>
    <mergeCell ref="E20:E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" zoomScale="100" workbookViewId="0">
      <selection activeCell="A1" activeCellId="0" sqref="A1"/>
    </sheetView>
  </sheetViews>
  <sheetFormatPr defaultRowHeight="12.75"/>
  <cols>
    <col bestFit="1" min="1" max="1" width="13.6640625"/>
    <col bestFit="1" min="2" max="2" width="10.7109375"/>
    <col bestFit="1" min="4" max="4" width="10.7109375"/>
    <col bestFit="1" min="5" max="5" width="13.00390625"/>
  </cols>
  <sheetData>
    <row r="1" ht="12.75">
      <c r="A1" s="22" t="s">
        <v>20</v>
      </c>
      <c r="B1" s="24"/>
      <c r="C1" s="24"/>
      <c r="D1" s="24"/>
      <c r="E1" s="25"/>
    </row>
    <row r="2" ht="12.75">
      <c r="A2" s="8"/>
      <c r="B2" s="26"/>
      <c r="C2" s="8"/>
      <c r="D2" s="26"/>
      <c r="E2" s="8"/>
    </row>
    <row r="3" ht="14.25">
      <c r="A3" s="9" t="s">
        <v>0</v>
      </c>
      <c r="B3" s="27" t="s">
        <v>1</v>
      </c>
      <c r="C3" s="10" t="s">
        <v>2</v>
      </c>
      <c r="D3" s="27" t="s">
        <v>3</v>
      </c>
      <c r="E3" s="11" t="s">
        <v>4</v>
      </c>
    </row>
    <row r="4" ht="12.75">
      <c r="A4" s="12" t="s">
        <v>5</v>
      </c>
      <c r="B4" s="49">
        <v>65000</v>
      </c>
      <c r="C4" s="49"/>
      <c r="D4" s="49"/>
      <c r="E4" s="48">
        <v>45910</v>
      </c>
    </row>
    <row r="5" ht="12.75">
      <c r="A5" s="12" t="s">
        <v>6</v>
      </c>
      <c r="B5" s="49">
        <v>18562.599999999999</v>
      </c>
      <c r="C5" s="49"/>
      <c r="D5" s="49"/>
      <c r="E5" s="48">
        <v>45915</v>
      </c>
    </row>
    <row r="6" ht="12.75">
      <c r="A6" s="12" t="s">
        <v>7</v>
      </c>
      <c r="B6" s="49"/>
      <c r="C6" s="49">
        <v>0</v>
      </c>
      <c r="D6" s="49"/>
      <c r="E6" s="48">
        <v>45915</v>
      </c>
    </row>
    <row r="7" ht="12.75">
      <c r="A7" s="12" t="s">
        <v>8</v>
      </c>
      <c r="B7" s="49">
        <v>30390</v>
      </c>
      <c r="C7" s="49"/>
      <c r="D7" s="49"/>
      <c r="E7" s="48">
        <v>45915</v>
      </c>
    </row>
    <row r="8" ht="12.75">
      <c r="A8" s="12" t="s">
        <v>9</v>
      </c>
      <c r="B8" s="49"/>
      <c r="C8" s="49">
        <v>22.530000000000001</v>
      </c>
      <c r="D8" s="49"/>
      <c r="E8" s="48">
        <v>45915</v>
      </c>
    </row>
    <row r="9" ht="12.75">
      <c r="A9" s="12" t="s">
        <v>10</v>
      </c>
      <c r="B9" s="49">
        <v>6645</v>
      </c>
      <c r="C9" s="49"/>
      <c r="D9" s="49"/>
      <c r="E9" s="48">
        <v>45912</v>
      </c>
    </row>
    <row r="10" ht="12.75">
      <c r="A10" s="12" t="s">
        <v>11</v>
      </c>
      <c r="B10" s="49">
        <v>13983.1</v>
      </c>
      <c r="C10" s="49"/>
      <c r="D10" s="49"/>
      <c r="E10" s="48">
        <v>45911</v>
      </c>
    </row>
    <row r="11" ht="12.75">
      <c r="A11" s="46" t="s">
        <v>37</v>
      </c>
      <c r="B11" s="49">
        <v>20477.970000000001</v>
      </c>
      <c r="C11" s="49"/>
      <c r="D11" s="49"/>
      <c r="E11" s="48">
        <v>45915</v>
      </c>
    </row>
    <row r="12" ht="12.75">
      <c r="A12" s="12" t="s">
        <v>12</v>
      </c>
      <c r="B12" s="49">
        <v>676</v>
      </c>
      <c r="C12" s="49"/>
      <c r="D12" s="49"/>
      <c r="E12" s="48">
        <v>45915</v>
      </c>
    </row>
    <row r="13" ht="12.75">
      <c r="A13" s="12" t="s">
        <v>13</v>
      </c>
      <c r="B13" s="49">
        <v>1112</v>
      </c>
      <c r="C13" s="52"/>
      <c r="D13" s="52"/>
      <c r="E13" s="48">
        <v>45931</v>
      </c>
    </row>
    <row r="14" ht="12.75">
      <c r="A14" s="12" t="s">
        <v>14</v>
      </c>
      <c r="B14" s="49">
        <v>1849</v>
      </c>
      <c r="C14" s="49"/>
      <c r="D14" s="49"/>
      <c r="E14" s="48">
        <v>45920</v>
      </c>
    </row>
    <row r="15" ht="12.75">
      <c r="A15" s="12" t="s">
        <v>21</v>
      </c>
      <c r="B15" s="49">
        <v>3238</v>
      </c>
      <c r="C15" s="52"/>
      <c r="D15" s="52"/>
      <c r="E15" s="48">
        <v>45900</v>
      </c>
    </row>
    <row r="16" ht="12.75">
      <c r="A16" s="12" t="s">
        <v>35</v>
      </c>
      <c r="B16" s="49">
        <v>3000</v>
      </c>
      <c r="C16" s="52"/>
      <c r="D16" s="52"/>
      <c r="E16" s="53"/>
    </row>
    <row r="17" ht="12.75">
      <c r="A17" s="12" t="s">
        <v>30</v>
      </c>
      <c r="B17" s="49">
        <v>10000</v>
      </c>
      <c r="C17" s="52"/>
      <c r="D17" s="52"/>
      <c r="E17" s="53"/>
    </row>
    <row r="18" ht="12.75">
      <c r="A18" s="12"/>
      <c r="B18" s="49">
        <v>0</v>
      </c>
      <c r="C18" s="52"/>
      <c r="D18" s="52"/>
      <c r="E18" s="53"/>
    </row>
    <row r="19" ht="12.75">
      <c r="A19" s="29"/>
      <c r="B19" s="30"/>
      <c r="C19" s="31"/>
      <c r="D19" s="30"/>
      <c r="E19" s="32"/>
    </row>
    <row r="20" ht="12.75">
      <c r="A20" s="33" t="s">
        <v>22</v>
      </c>
      <c r="B20" s="34"/>
      <c r="C20" s="34"/>
      <c r="D20" s="40"/>
      <c r="E20" s="36" t="s">
        <v>32</v>
      </c>
    </row>
    <row r="21" ht="12.75">
      <c r="A21" s="15"/>
      <c r="B21" s="26"/>
      <c r="C21" s="15"/>
      <c r="D21" s="26"/>
      <c r="E21" s="16"/>
    </row>
    <row r="22" ht="16.5">
      <c r="A22" s="37" t="s">
        <v>26</v>
      </c>
      <c r="B22" s="54"/>
      <c r="C22" s="55">
        <v>0</v>
      </c>
      <c r="D22" s="54"/>
      <c r="E22" s="13">
        <v>42</v>
      </c>
    </row>
    <row r="23" ht="12.75">
      <c r="A23" s="17" t="s">
        <v>38</v>
      </c>
      <c r="B23" s="13">
        <v>123363</v>
      </c>
      <c r="C23" s="13"/>
      <c r="D23" s="13"/>
      <c r="E23" s="51"/>
    </row>
    <row r="24" ht="12.75">
      <c r="A24" s="17" t="s">
        <v>39</v>
      </c>
      <c r="B24" s="13">
        <v>68000</v>
      </c>
      <c r="C24" s="13">
        <v>25.190000000000001</v>
      </c>
      <c r="D24" s="13"/>
      <c r="E24" s="3"/>
    </row>
    <row r="25" ht="12.75">
      <c r="A25" s="17" t="s">
        <v>28</v>
      </c>
      <c r="B25" s="13">
        <v>14000</v>
      </c>
      <c r="C25" s="13"/>
      <c r="D25" s="13"/>
      <c r="E25" s="3"/>
    </row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</sheetData>
  <mergeCells count="3">
    <mergeCell ref="A1:E2"/>
    <mergeCell ref="A20:D21"/>
    <mergeCell ref="E20:E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9" zoomScale="100" workbookViewId="0">
      <selection activeCell="A1" activeCellId="0" sqref="A1"/>
    </sheetView>
  </sheetViews>
  <sheetFormatPr defaultRowHeight="12.75"/>
  <cols>
    <col bestFit="1" min="1" max="1" width="13.6640625"/>
    <col bestFit="1" min="2" max="2" width="10.7109375"/>
    <col bestFit="1" min="3" max="3" width="8.33203125"/>
    <col bestFit="1" min="4" max="4" width="10.7109375"/>
    <col bestFit="1" min="5" max="5" width="13.00390625"/>
  </cols>
  <sheetData>
    <row r="1" ht="14.25">
      <c r="A1" s="56" t="s">
        <v>20</v>
      </c>
      <c r="B1" s="57"/>
      <c r="C1" s="57"/>
      <c r="D1" s="57"/>
      <c r="E1" s="58"/>
    </row>
    <row r="2">
      <c r="A2" s="59"/>
      <c r="B2" s="60"/>
      <c r="C2" s="59"/>
      <c r="D2" s="60"/>
      <c r="E2" s="59"/>
    </row>
    <row r="3" ht="28.5">
      <c r="A3" s="61" t="s">
        <v>0</v>
      </c>
      <c r="B3" s="62" t="s">
        <v>1</v>
      </c>
      <c r="C3" s="63" t="s">
        <v>2</v>
      </c>
      <c r="D3" s="62" t="s">
        <v>3</v>
      </c>
      <c r="E3" s="64" t="s">
        <v>4</v>
      </c>
    </row>
    <row r="4">
      <c r="A4" s="65" t="s">
        <v>5</v>
      </c>
      <c r="B4" s="66">
        <v>65000</v>
      </c>
      <c r="C4" s="66"/>
      <c r="D4" s="66"/>
      <c r="E4" s="67">
        <v>45940</v>
      </c>
    </row>
    <row r="5">
      <c r="A5" s="65" t="s">
        <v>6</v>
      </c>
      <c r="B5" s="66">
        <v>13695.780000000001</v>
      </c>
      <c r="C5" s="66"/>
      <c r="D5" s="66"/>
      <c r="E5" s="67">
        <v>45943</v>
      </c>
    </row>
    <row r="6">
      <c r="A6" s="65" t="s">
        <v>7</v>
      </c>
      <c r="B6" s="66"/>
      <c r="C6" s="66">
        <v>22.530000000000001</v>
      </c>
      <c r="D6" s="66"/>
      <c r="E6" s="67">
        <v>45943</v>
      </c>
    </row>
    <row r="7">
      <c r="A7" s="65" t="s">
        <v>8</v>
      </c>
      <c r="B7" s="66">
        <v>35219</v>
      </c>
      <c r="C7" s="66"/>
      <c r="D7" s="66"/>
      <c r="E7" s="67">
        <v>45943</v>
      </c>
    </row>
    <row r="8">
      <c r="A8" s="65" t="s">
        <v>9</v>
      </c>
      <c r="B8" s="68"/>
      <c r="C8" s="66">
        <v>0</v>
      </c>
      <c r="D8" s="66"/>
      <c r="E8" s="67">
        <v>45943</v>
      </c>
    </row>
    <row r="9">
      <c r="A9" s="65" t="s">
        <v>10</v>
      </c>
      <c r="B9" s="66">
        <v>6791</v>
      </c>
      <c r="C9" s="66"/>
      <c r="D9" s="66"/>
      <c r="E9" s="67">
        <v>45943</v>
      </c>
    </row>
    <row r="10" ht="22.5">
      <c r="A10" s="65" t="s">
        <v>11</v>
      </c>
      <c r="B10" s="66">
        <v>8860.4300000000003</v>
      </c>
      <c r="C10" s="66"/>
      <c r="D10" s="66"/>
      <c r="E10" s="67">
        <v>45946</v>
      </c>
    </row>
    <row r="11">
      <c r="A11" s="69" t="s">
        <v>37</v>
      </c>
      <c r="B11" s="66">
        <v>16305</v>
      </c>
      <c r="C11" s="66"/>
      <c r="D11" s="66"/>
      <c r="E11" s="67">
        <v>45944</v>
      </c>
    </row>
    <row r="12">
      <c r="A12" s="65" t="s">
        <v>12</v>
      </c>
      <c r="B12" s="66">
        <v>642</v>
      </c>
      <c r="C12" s="66"/>
      <c r="D12" s="66"/>
      <c r="E12" s="67">
        <v>45945</v>
      </c>
    </row>
    <row r="13">
      <c r="A13" s="65" t="s">
        <v>13</v>
      </c>
      <c r="B13" s="66">
        <v>1887</v>
      </c>
      <c r="C13" s="66"/>
      <c r="D13" s="66"/>
      <c r="E13" s="67">
        <v>45939</v>
      </c>
    </row>
    <row r="14" ht="12.75">
      <c r="A14" s="12" t="s">
        <v>14</v>
      </c>
      <c r="B14" s="49">
        <v>1849</v>
      </c>
      <c r="C14" s="49"/>
      <c r="D14" s="49"/>
      <c r="E14" s="48">
        <v>45950</v>
      </c>
    </row>
    <row r="15" ht="12.75">
      <c r="A15" s="12" t="s">
        <v>21</v>
      </c>
      <c r="B15" s="49">
        <v>4496</v>
      </c>
      <c r="C15" s="52"/>
      <c r="D15" s="52"/>
      <c r="E15" s="48">
        <v>45961</v>
      </c>
    </row>
    <row r="16" ht="12.75">
      <c r="A16" s="12" t="s">
        <v>35</v>
      </c>
      <c r="B16" s="49">
        <v>3000</v>
      </c>
      <c r="C16" s="52"/>
      <c r="D16" s="52"/>
      <c r="E16" s="53"/>
    </row>
    <row r="17" ht="12.75">
      <c r="A17" s="12" t="s">
        <v>30</v>
      </c>
      <c r="B17" s="49">
        <v>10000</v>
      </c>
      <c r="C17" s="52"/>
      <c r="D17" s="52"/>
      <c r="E17" s="53"/>
    </row>
    <row r="18" ht="12.75">
      <c r="A18" s="12"/>
      <c r="B18" s="49">
        <v>0</v>
      </c>
      <c r="C18" s="52"/>
      <c r="D18" s="52"/>
      <c r="E18" s="53"/>
    </row>
    <row r="19" ht="12.75">
      <c r="A19" s="29"/>
      <c r="B19" s="30"/>
      <c r="C19" s="31"/>
      <c r="D19" s="30"/>
      <c r="E19" s="32"/>
    </row>
    <row r="20" ht="12.75">
      <c r="A20" s="33" t="s">
        <v>22</v>
      </c>
      <c r="B20" s="34"/>
      <c r="C20" s="34"/>
      <c r="D20" s="40"/>
      <c r="E20" s="36" t="s">
        <v>32</v>
      </c>
    </row>
    <row r="21" ht="12.75">
      <c r="A21" s="15"/>
      <c r="B21" s="26"/>
      <c r="C21" s="15"/>
      <c r="D21" s="26"/>
      <c r="E21" s="16"/>
    </row>
    <row r="22" ht="16.5">
      <c r="A22" s="37" t="s">
        <v>26</v>
      </c>
      <c r="B22" s="54"/>
      <c r="C22" s="55">
        <v>0</v>
      </c>
      <c r="D22" s="54"/>
      <c r="E22" s="13">
        <v>42</v>
      </c>
    </row>
    <row r="23" ht="12.75">
      <c r="A23" s="17" t="s">
        <v>38</v>
      </c>
      <c r="B23" s="13">
        <v>123000</v>
      </c>
      <c r="C23" s="13"/>
      <c r="D23" s="13"/>
      <c r="E23" s="51"/>
    </row>
    <row r="24" ht="12.75">
      <c r="A24" s="17" t="s">
        <v>39</v>
      </c>
      <c r="B24" s="13">
        <v>65000</v>
      </c>
      <c r="C24" s="13">
        <v>25.190000000000001</v>
      </c>
      <c r="D24" s="13"/>
      <c r="E24" s="3"/>
    </row>
    <row r="25" ht="12.75">
      <c r="A25" s="17" t="s">
        <v>28</v>
      </c>
      <c r="B25" s="13">
        <v>0</v>
      </c>
      <c r="C25" s="13"/>
      <c r="D25" s="13"/>
      <c r="E25" s="3"/>
    </row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</sheetData>
  <mergeCells count="3">
    <mergeCell ref="A1:E2"/>
    <mergeCell ref="A20:D21"/>
    <mergeCell ref="E20:E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Martínez</dc:creator>
  <cp:revision>125</cp:revision>
  <dcterms:created xsi:type="dcterms:W3CDTF">2023-05-10T15:41:00Z</dcterms:created>
  <dcterms:modified xsi:type="dcterms:W3CDTF">2025-10-20T14:18:47Z</dcterms:modified>
</cp:coreProperties>
</file>